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取り込み用" sheetId="1" state="visible" r:id="rId1"/>
    <sheet xmlns:r="http://schemas.openxmlformats.org/officeDocument/2006/relationships" name="数量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8" customWidth="1" min="4" max="4"/>
    <col width="6" customWidth="1" min="5" max="5"/>
    <col width="30" customWidth="1" min="6" max="6"/>
  </cols>
  <sheetData>
    <row r="1">
      <c r="A1" s="1" t="inlineStr">
        <is>
          <t>品番</t>
        </is>
      </c>
      <c r="B1" s="1" t="inlineStr">
        <is>
          <t>商品名</t>
        </is>
      </c>
      <c r="C1" s="1" t="inlineStr">
        <is>
          <t>メーカー</t>
        </is>
      </c>
      <c r="D1" s="1" t="inlineStr">
        <is>
          <t>数量</t>
        </is>
      </c>
      <c r="E1" s="1" t="inlineStr">
        <is>
          <t>単位</t>
        </is>
      </c>
      <c r="F1" s="1" t="inlineStr">
        <is>
          <t>備考</t>
        </is>
      </c>
    </row>
    <row r="2">
      <c r="A2" s="2" t="inlineStr">
        <is>
          <t>XAD11002K CQ1</t>
        </is>
      </c>
      <c r="B2" s="2" t="inlineStr">
        <is>
          <t>ダウンライト（B）</t>
        </is>
      </c>
      <c r="C2" s="2" t="inlineStr">
        <is>
          <t>パナソニック</t>
        </is>
      </c>
      <c r="D2" s="2" t="n">
        <v>55</v>
      </c>
      <c r="E2" s="2" t="inlineStr">
        <is>
          <t>台</t>
        </is>
      </c>
      <c r="F2" s="2" t="inlineStr"/>
    </row>
    <row r="3">
      <c r="A3" s="2" t="inlineStr">
        <is>
          <t>XED1130LCE1</t>
        </is>
      </c>
      <c r="B3" s="2" t="inlineStr">
        <is>
          <t>ダウンライト（C）</t>
        </is>
      </c>
      <c r="C3" s="2" t="inlineStr">
        <is>
          <t>パナソニック</t>
        </is>
      </c>
      <c r="D3" s="2" t="n">
        <v>23</v>
      </c>
      <c r="E3" s="2" t="inlineStr">
        <is>
          <t>台</t>
        </is>
      </c>
      <c r="F3" s="2" t="inlineStr"/>
    </row>
    <row r="4">
      <c r="A4" s="2" t="inlineStr">
        <is>
          <t>OB081016LR</t>
        </is>
      </c>
      <c r="B4" s="2" t="inlineStr">
        <is>
          <t>ブラケット（D）</t>
        </is>
      </c>
      <c r="C4" s="2" t="inlineStr">
        <is>
          <t>オーデリック</t>
        </is>
      </c>
      <c r="D4" s="2" t="n">
        <v>15</v>
      </c>
      <c r="E4" s="2" t="inlineStr">
        <is>
          <t>台</t>
        </is>
      </c>
      <c r="F4" s="2" t="inlineStr"/>
    </row>
    <row r="5">
      <c r="A5" s="2" t="inlineStr">
        <is>
          <t>AB38553L</t>
        </is>
      </c>
      <c r="B5" s="2" t="inlineStr">
        <is>
          <t>キッチン照明（F）</t>
        </is>
      </c>
      <c r="C5" s="2" t="inlineStr">
        <is>
          <t>コイズミ照明</t>
        </is>
      </c>
      <c r="D5" s="2" t="n">
        <v>14</v>
      </c>
      <c r="E5" s="2" t="inlineStr">
        <is>
          <t>台</t>
        </is>
      </c>
      <c r="F5" s="2" t="inlineStr">
        <is>
          <t>非調光</t>
        </is>
      </c>
    </row>
    <row r="6">
      <c r="A6" s="2" t="inlineStr">
        <is>
          <t>NWCF59511LE1</t>
        </is>
      </c>
      <c r="B6" s="2" t="inlineStr">
        <is>
          <t>非常照明（G）</t>
        </is>
      </c>
      <c r="C6" s="2" t="inlineStr">
        <is>
          <t>パナソニック</t>
        </is>
      </c>
      <c r="D6" s="2" t="n">
        <v>4</v>
      </c>
      <c r="E6" s="2" t="inlineStr">
        <is>
          <t>台</t>
        </is>
      </c>
      <c r="F6" s="2" t="inlineStr"/>
    </row>
    <row r="7">
      <c r="A7" s="2" t="inlineStr">
        <is>
          <t>OR037535</t>
        </is>
      </c>
      <c r="B7" s="2" t="inlineStr">
        <is>
          <t>避難口誘導灯（H）</t>
        </is>
      </c>
      <c r="C7" s="2" t="inlineStr">
        <is>
          <t>オーデリック</t>
        </is>
      </c>
      <c r="D7" s="2" t="n">
        <v>1</v>
      </c>
      <c r="E7" s="2" t="inlineStr">
        <is>
          <t>台</t>
        </is>
      </c>
      <c r="F7" s="2" t="inlineStr"/>
    </row>
    <row r="8">
      <c r="A8" s="2" t="inlineStr">
        <is>
          <t>AR50616</t>
        </is>
      </c>
      <c r="B8" s="2" t="inlineStr">
        <is>
          <t>非常灯（a1）</t>
        </is>
      </c>
      <c r="C8" s="2" t="inlineStr">
        <is>
          <t>コイズミ照明</t>
        </is>
      </c>
      <c r="D8" s="2" t="n">
        <v>3</v>
      </c>
      <c r="E8" s="2" t="inlineStr">
        <is>
          <t>台</t>
        </is>
      </c>
      <c r="F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8" customWidth="1" min="4" max="4"/>
    <col width="9" customWidth="1" min="5" max="5"/>
    <col width="16" customWidth="1" min="6" max="6"/>
    <col width="10" customWidth="1" min="7" max="7"/>
    <col width="10" customWidth="1" min="8" max="8"/>
    <col width="9" customWidth="1" min="9" max="9"/>
    <col width="44" customWidth="1" min="10" max="10"/>
  </cols>
  <sheetData>
    <row r="1">
      <c r="A1" s="3" t="inlineStr">
        <is>
          <t>FC蒲田計画　照明器具 数量表（姿図 E-15 2025/12/15 より）</t>
        </is>
      </c>
    </row>
    <row r="3">
      <c r="A3" s="4" t="inlineStr">
        <is>
          <t>記号</t>
        </is>
      </c>
      <c r="B3" s="4" t="inlineStr">
        <is>
          <t>種類</t>
        </is>
      </c>
      <c r="C3" s="4" t="inlineStr">
        <is>
          <t>メーカー</t>
        </is>
      </c>
      <c r="D3" s="4" t="inlineStr">
        <is>
          <t>品番</t>
        </is>
      </c>
      <c r="E3" s="4" t="inlineStr">
        <is>
          <t>色温度</t>
        </is>
      </c>
      <c r="F3" s="4" t="inlineStr">
        <is>
          <t>本体色</t>
        </is>
      </c>
      <c r="G3" s="4" t="inlineStr">
        <is>
          <t>図面数量</t>
        </is>
      </c>
      <c r="H3" s="4" t="inlineStr">
        <is>
          <t>在庫充当</t>
        </is>
      </c>
      <c r="I3" s="4" t="inlineStr">
        <is>
          <t>発注数</t>
        </is>
      </c>
      <c r="J3" s="4" t="inlineStr">
        <is>
          <t>備考</t>
        </is>
      </c>
    </row>
    <row r="4">
      <c r="A4" s="2" t="inlineStr">
        <is>
          <t>A</t>
        </is>
      </c>
      <c r="B4" s="2" t="inlineStr">
        <is>
          <t>ダウンライト</t>
        </is>
      </c>
      <c r="C4" s="2" t="inlineStr">
        <is>
          <t>パナソニック</t>
        </is>
      </c>
      <c r="D4" s="2" t="inlineStr">
        <is>
          <t>LGDC1104LLE1</t>
        </is>
      </c>
      <c r="E4" s="2" t="inlineStr">
        <is>
          <t>2700K</t>
        </is>
      </c>
      <c r="F4" s="2" t="inlineStr">
        <is>
          <t>ホワイトつや消し</t>
        </is>
      </c>
      <c r="G4" s="2" t="n">
        <v>14</v>
      </c>
      <c r="H4" s="2" t="n">
        <v>14</v>
      </c>
      <c r="I4" s="2" t="n">
        <v>0</v>
      </c>
      <c r="J4" s="2" t="inlineStr">
        <is>
          <t>在庫 LSEB9532LE1（2700K・φ100）で充当。発注なし</t>
        </is>
      </c>
    </row>
    <row r="5">
      <c r="A5" s="2" t="inlineStr">
        <is>
          <t>B</t>
        </is>
      </c>
      <c r="B5" s="2" t="inlineStr">
        <is>
          <t>ダウンライト</t>
        </is>
      </c>
      <c r="C5" s="2" t="inlineStr">
        <is>
          <t>パナソニック</t>
        </is>
      </c>
      <c r="D5" s="2" t="inlineStr">
        <is>
          <t>XAD11002K CQ1</t>
        </is>
      </c>
      <c r="E5" s="2" t="inlineStr">
        <is>
          <t>2700K</t>
        </is>
      </c>
      <c r="F5" s="2" t="inlineStr">
        <is>
          <t>ホワイトつや消し</t>
        </is>
      </c>
      <c r="G5" s="2" t="n">
        <v>55</v>
      </c>
      <c r="H5" s="2" t="n">
        <v>0</v>
      </c>
      <c r="I5" s="2" t="n">
        <v>55</v>
      </c>
      <c r="J5" s="2" t="inlineStr"/>
    </row>
    <row r="6">
      <c r="A6" s="2" t="inlineStr">
        <is>
          <t>C</t>
        </is>
      </c>
      <c r="B6" s="2" t="inlineStr">
        <is>
          <t>ダウンライト</t>
        </is>
      </c>
      <c r="C6" s="2" t="inlineStr">
        <is>
          <t>パナソニック</t>
        </is>
      </c>
      <c r="D6" s="2" t="inlineStr">
        <is>
          <t>XED1130LCE1</t>
        </is>
      </c>
      <c r="E6" s="2" t="inlineStr">
        <is>
          <t>2700K</t>
        </is>
      </c>
      <c r="F6" s="2" t="inlineStr">
        <is>
          <t>ホワイトつや消し</t>
        </is>
      </c>
      <c r="G6" s="2" t="n">
        <v>23</v>
      </c>
      <c r="H6" s="2" t="n">
        <v>0</v>
      </c>
      <c r="I6" s="2" t="n">
        <v>23</v>
      </c>
      <c r="J6" s="2" t="inlineStr"/>
    </row>
    <row r="7">
      <c r="A7" s="2" t="inlineStr">
        <is>
          <t>D</t>
        </is>
      </c>
      <c r="B7" s="2" t="inlineStr">
        <is>
          <t>ブラケット</t>
        </is>
      </c>
      <c r="C7" s="2" t="inlineStr">
        <is>
          <t>オーデリック</t>
        </is>
      </c>
      <c r="D7" s="2" t="inlineStr">
        <is>
          <t>OB081016LR</t>
        </is>
      </c>
      <c r="E7" s="2" t="inlineStr">
        <is>
          <t>2700K</t>
        </is>
      </c>
      <c r="F7" s="2" t="inlineStr">
        <is>
          <t>マットホワイト</t>
        </is>
      </c>
      <c r="G7" s="2" t="n">
        <v>15</v>
      </c>
      <c r="H7" s="2" t="n">
        <v>0</v>
      </c>
      <c r="I7" s="2" t="n">
        <v>15</v>
      </c>
      <c r="J7" s="2" t="inlineStr"/>
    </row>
    <row r="8">
      <c r="A8" s="2" t="inlineStr">
        <is>
          <t>F</t>
        </is>
      </c>
      <c r="B8" s="2" t="inlineStr">
        <is>
          <t>キッチン照明</t>
        </is>
      </c>
      <c r="C8" s="2" t="inlineStr">
        <is>
          <t>コイズミ照明</t>
        </is>
      </c>
      <c r="D8" s="2" t="inlineStr">
        <is>
          <t>AB38553L</t>
        </is>
      </c>
      <c r="E8" s="2" t="inlineStr">
        <is>
          <t>5000K</t>
        </is>
      </c>
      <c r="F8" s="2" t="inlineStr">
        <is>
          <t>ファインホワイト</t>
        </is>
      </c>
      <c r="G8" s="2" t="n">
        <v>14</v>
      </c>
      <c r="H8" s="2" t="n">
        <v>0</v>
      </c>
      <c r="I8" s="2" t="n">
        <v>14</v>
      </c>
      <c r="J8" s="2" t="inlineStr">
        <is>
          <t>非調光</t>
        </is>
      </c>
    </row>
    <row r="9">
      <c r="A9" s="2" t="inlineStr">
        <is>
          <t>G</t>
        </is>
      </c>
      <c r="B9" s="2" t="inlineStr">
        <is>
          <t>非常照明</t>
        </is>
      </c>
      <c r="C9" s="2" t="inlineStr">
        <is>
          <t>パナソニック</t>
        </is>
      </c>
      <c r="D9" s="2" t="inlineStr">
        <is>
          <t>NWCF59511LE1</t>
        </is>
      </c>
      <c r="E9" s="2" t="inlineStr">
        <is>
          <t>2700K</t>
        </is>
      </c>
      <c r="F9" s="2" t="inlineStr">
        <is>
          <t>ブラック</t>
        </is>
      </c>
      <c r="G9" s="2" t="n">
        <v>4</v>
      </c>
      <c r="H9" s="2" t="n">
        <v>0</v>
      </c>
      <c r="I9" s="2" t="n">
        <v>4</v>
      </c>
      <c r="J9" s="2" t="inlineStr"/>
    </row>
    <row r="10">
      <c r="A10" s="2" t="inlineStr">
        <is>
          <t>H</t>
        </is>
      </c>
      <c r="B10" s="2" t="inlineStr">
        <is>
          <t>避難口誘導灯</t>
        </is>
      </c>
      <c r="C10" s="2" t="inlineStr">
        <is>
          <t>オーデリック</t>
        </is>
      </c>
      <c r="D10" s="2" t="inlineStr">
        <is>
          <t>OR037535</t>
        </is>
      </c>
      <c r="E10" s="2" t="inlineStr">
        <is>
          <t>－</t>
        </is>
      </c>
      <c r="F10" s="2" t="inlineStr">
        <is>
          <t>白</t>
        </is>
      </c>
      <c r="G10" s="2" t="n">
        <v>1</v>
      </c>
      <c r="H10" s="2" t="n">
        <v>0</v>
      </c>
      <c r="I10" s="2" t="n">
        <v>1</v>
      </c>
      <c r="J10" s="2" t="inlineStr"/>
    </row>
    <row r="11">
      <c r="A11" s="2" t="inlineStr">
        <is>
          <t>a1</t>
        </is>
      </c>
      <c r="B11" s="2" t="inlineStr">
        <is>
          <t>非常灯</t>
        </is>
      </c>
      <c r="C11" s="2" t="inlineStr">
        <is>
          <t>コイズミ照明</t>
        </is>
      </c>
      <c r="D11" s="2" t="inlineStr">
        <is>
          <t>AR50616</t>
        </is>
      </c>
      <c r="E11" s="2" t="inlineStr">
        <is>
          <t>－</t>
        </is>
      </c>
      <c r="F11" s="2" t="inlineStr">
        <is>
          <t>－</t>
        </is>
      </c>
      <c r="G11" s="2" t="n">
        <v>3</v>
      </c>
      <c r="H11" s="2" t="n">
        <v>0</v>
      </c>
      <c r="I11" s="2" t="n">
        <v>3</v>
      </c>
      <c r="J11" s="2" t="inlineStr"/>
    </row>
    <row r="12">
      <c r="A12" s="5" t="inlineStr"/>
      <c r="B12" s="5" t="inlineStr">
        <is>
          <t>合計</t>
        </is>
      </c>
      <c r="C12" s="5" t="inlineStr"/>
      <c r="D12" s="5" t="inlineStr"/>
      <c r="E12" s="5" t="inlineStr"/>
      <c r="F12" s="5" t="inlineStr"/>
      <c r="G12" s="5">
        <f>SUM(G4:G11)</f>
        <v/>
      </c>
      <c r="H12" s="5">
        <f>SUM(H4:H11)</f>
        <v/>
      </c>
      <c r="I12" s="5">
        <f>SUM(I4:I11)</f>
        <v/>
      </c>
      <c r="J12" s="5" t="inlineStr"/>
    </row>
    <row r="14">
      <c r="A14" t="inlineStr">
        <is>
          <t>※ E（ブラケット AH42162L）、I（外部ダウンライト SLR1014LLE1）、J（間接照明 OG254774）は対象外（姿図でバツ）</t>
        </is>
      </c>
    </row>
    <row r="15">
      <c r="A15" t="inlineStr">
        <is>
          <t>※ 在庫 LSEB9532LE1 は 25台のうち 14台使用、残り 11台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2026-10-24T06:26:02Z</dcterms:created>
  <dcterms:modified xmlns:dcterms="http://purl.org/dc/terms/" xmlns:xsi="http://www.w3.org/2001/XMLSchema-instance" xsi:type="dcterms:W3CDTF">2026-10-24T06:26:02Z</dcterms:modified>
</cp:coreProperties>
</file>