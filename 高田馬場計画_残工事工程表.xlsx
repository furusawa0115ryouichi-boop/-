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程表" sheetId="1" state="visible" r:id="rId3"/>
    <sheet name="記入方法" sheetId="2" state="visible" r:id="rId4"/>
  </sheets>
  <definedNames>
    <definedName function="false" hidden="false" localSheetId="0" name="_xlnm.Print_Area" vbProcedure="false">工程表!$A$1:$EB$47</definedName>
    <definedName function="false" hidden="false" localSheetId="0" name="_xlnm.Print_Titles" vbProcedure="false">工程表!$A:$L,工程表!$5:$7</definedName>
    <definedName function="false" hidden="false" localSheetId="0" name="_xlnm.Print_Titles" vbProcedure="false">工程表!$5:$7,工程表!$A:$L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WenQuanYi Zen Hei"/>
            <family val="2"/>
          </rPr>
          <t xml:space="preserve">この作業の前に終わっている必要がある作業の</t>
        </r>
        <r>
          <rPr>
            <sz val="10"/>
            <rFont val="Arial"/>
            <family val="2"/>
          </rPr>
          <t xml:space="preserve">No</t>
        </r>
        <r>
          <rPr>
            <sz val="10"/>
            <rFont val="WenQuanYi Zen Hei"/>
            <family val="2"/>
          </rPr>
          <t xml:space="preserve">を入れます。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WenQuanYi Zen Hei"/>
            <family val="2"/>
          </rPr>
          <t xml:space="preserve">つまで指定可。開始日＝先行作業の遅い方の終了日の翌日＋待ち日数。</t>
        </r>
      </text>
    </comment>
    <comment ref="H2" authorId="0">
      <text>
        <r>
          <rPr>
            <sz val="10"/>
            <rFont val="WenQuanYi Zen Hei"/>
            <family val="2"/>
          </rPr>
          <t xml:space="preserve">グリッドの初日。先行作業も指定開始日もない作業はこの日から始まります。</t>
        </r>
      </text>
    </comment>
    <comment ref="H8" authorId="0">
      <text>
        <r>
          <rPr>
            <sz val="10"/>
            <rFont val="WenQuanYi Zen Hei"/>
            <family val="2"/>
          </rPr>
          <t xml:space="preserve">先行作業がない作業や、日付を固定したい作業はここに日付を入れます。先行作業より遅い日付を入れた場合はそちらが優先されます。</t>
        </r>
      </text>
    </comment>
  </commentList>
</comments>
</file>

<file path=xl/sharedStrings.xml><?xml version="1.0" encoding="utf-8"?>
<sst xmlns="http://schemas.openxmlformats.org/spreadsheetml/2006/main" count="94" uniqueCount="81">
  <si>
    <t xml:space="preserve">高田馬場計画　残工事工程表</t>
  </si>
  <si>
    <t xml:space="preserve">工事名</t>
  </si>
  <si>
    <t xml:space="preserve">高田馬場計画</t>
  </si>
  <si>
    <t xml:space="preserve">工程基準日</t>
  </si>
  <si>
    <t xml:space="preserve">凡例</t>
  </si>
  <si>
    <t xml:space="preserve">作成日</t>
  </si>
  <si>
    <t xml:space="preserve">本日</t>
  </si>
  <si>
    <t xml:space="preserve">入力欄</t>
  </si>
  <si>
    <t xml:space="preserve">自動計算</t>
  </si>
  <si>
    <t xml:space="preserve">予定</t>
  </si>
  <si>
    <r>
      <rPr>
        <sz val="9"/>
        <rFont val="WenQuanYi Zen Hei"/>
        <family val="2"/>
      </rPr>
      <t xml:space="preserve">進捗</t>
    </r>
    <r>
      <rPr>
        <sz val="9"/>
        <rFont val="Meiryo UI"/>
        <family val="0"/>
        <charset val="1"/>
      </rPr>
      <t xml:space="preserve">(</t>
    </r>
    <r>
      <rPr>
        <sz val="9"/>
        <rFont val="WenQuanYi Zen Hei"/>
        <family val="2"/>
      </rPr>
      <t xml:space="preserve">実績</t>
    </r>
    <r>
      <rPr>
        <sz val="9"/>
        <rFont val="Meiryo UI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</si>
  <si>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マイルストーン</t>
    </r>
    <r>
      <rPr>
        <sz val="9"/>
        <rFont val="Meiryo UI"/>
        <family val="0"/>
        <charset val="1"/>
      </rPr>
      <t xml:space="preserve">(</t>
    </r>
    <r>
      <rPr>
        <sz val="9"/>
        <rFont val="WenQuanYi Zen Hei"/>
        <family val="2"/>
      </rPr>
      <t xml:space="preserve">日数</t>
    </r>
    <r>
      <rPr>
        <sz val="9"/>
        <rFont val="Meiryo UI"/>
        <family val="0"/>
        <charset val="1"/>
      </rPr>
      <t xml:space="preserve">0)</t>
    </r>
  </si>
  <si>
    <t xml:space="preserve">日曜</t>
  </si>
  <si>
    <t xml:space="preserve">作成者</t>
  </si>
  <si>
    <r>
      <rPr>
        <b val="true"/>
        <sz val="9"/>
        <rFont val="WenQuanYi Zen Hei"/>
        <family val="2"/>
      </rPr>
      <t xml:space="preserve">工期末</t>
    </r>
    <r>
      <rPr>
        <b val="true"/>
        <sz val="9"/>
        <rFont val="Meiryo UI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最終終了日</t>
    </r>
    <r>
      <rPr>
        <b val="true"/>
        <sz val="9"/>
        <rFont val="Meiryo UI"/>
        <family val="0"/>
        <charset val="1"/>
      </rPr>
      <t xml:space="preserve">)</t>
    </r>
  </si>
  <si>
    <r>
      <rPr>
        <sz val="9"/>
        <color rgb="FF555555"/>
        <rFont val="WenQuanYi Zen Hei"/>
        <family val="2"/>
      </rPr>
      <t xml:space="preserve">先行作業</t>
    </r>
    <r>
      <rPr>
        <sz val="9"/>
        <color rgb="FF555555"/>
        <rFont val="Meiryo UI"/>
        <family val="0"/>
        <charset val="1"/>
      </rPr>
      <t xml:space="preserve">No</t>
    </r>
    <r>
      <rPr>
        <sz val="9"/>
        <color rgb="FF555555"/>
        <rFont val="WenQuanYi Zen Hei"/>
        <family val="2"/>
      </rPr>
      <t xml:space="preserve">を入れると、前の作業の終了日の翌日</t>
    </r>
    <r>
      <rPr>
        <sz val="9"/>
        <color rgb="FF555555"/>
        <rFont val="Meiryo UI"/>
        <family val="0"/>
        <charset val="1"/>
      </rPr>
      <t xml:space="preserve">(</t>
    </r>
    <r>
      <rPr>
        <sz val="9"/>
        <color rgb="FF555555"/>
        <rFont val="WenQuanYi Zen Hei"/>
        <family val="2"/>
      </rPr>
      <t xml:space="preserve">＋待ち日数</t>
    </r>
    <r>
      <rPr>
        <sz val="9"/>
        <color rgb="FF555555"/>
        <rFont val="Meiryo UI"/>
        <family val="0"/>
        <charset val="1"/>
      </rPr>
      <t xml:space="preserve">)</t>
    </r>
    <r>
      <rPr>
        <sz val="9"/>
        <color rgb="FF555555"/>
        <rFont val="WenQuanYi Zen Hei"/>
        <family val="2"/>
      </rPr>
      <t xml:space="preserve">から自動で開始日が決まります。</t>
    </r>
  </si>
  <si>
    <t xml:space="preserve">No</t>
  </si>
  <si>
    <t xml:space="preserve">工種</t>
  </si>
  <si>
    <t xml:space="preserve">作業内容</t>
  </si>
  <si>
    <t xml:space="preserve">担当業者</t>
  </si>
  <si>
    <r>
      <rPr>
        <b val="true"/>
        <sz val="9"/>
        <color rgb="FFFFFFFF"/>
        <rFont val="WenQuanYi Zen Hei"/>
        <family val="2"/>
      </rPr>
      <t xml:space="preserve">先行作業
</t>
    </r>
    <r>
      <rPr>
        <b val="true"/>
        <sz val="9"/>
        <color rgb="FFFFFFFF"/>
        <rFont val="Meiryo UI"/>
        <family val="0"/>
        <charset val="1"/>
      </rPr>
      <t xml:space="preserve">No①</t>
    </r>
  </si>
  <si>
    <r>
      <rPr>
        <b val="true"/>
        <sz val="9"/>
        <color rgb="FFFFFFFF"/>
        <rFont val="WenQuanYi Zen Hei"/>
        <family val="2"/>
      </rPr>
      <t xml:space="preserve">先行作業
</t>
    </r>
    <r>
      <rPr>
        <b val="true"/>
        <sz val="9"/>
        <color rgb="FFFFFFFF"/>
        <rFont val="Meiryo UI"/>
        <family val="0"/>
        <charset val="1"/>
      </rPr>
      <t xml:space="preserve">No②</t>
    </r>
  </si>
  <si>
    <t xml:space="preserve">待ち
日数</t>
  </si>
  <si>
    <t xml:space="preserve">指定
開始日</t>
  </si>
  <si>
    <t xml:space="preserve">開始日</t>
  </si>
  <si>
    <t xml:space="preserve">終了日</t>
  </si>
  <si>
    <t xml:space="preserve">日数</t>
  </si>
  <si>
    <r>
      <rPr>
        <b val="true"/>
        <sz val="9"/>
        <color rgb="FFFFFFFF"/>
        <rFont val="WenQuanYi Zen Hei"/>
        <family val="2"/>
      </rPr>
      <t xml:space="preserve">進捗
</t>
    </r>
    <r>
      <rPr>
        <b val="true"/>
        <sz val="9"/>
        <color rgb="FFFFFFFF"/>
        <rFont val="Meiryo UI"/>
        <family val="0"/>
        <charset val="1"/>
      </rPr>
      <t xml:space="preserve">%</t>
    </r>
  </si>
  <si>
    <t xml:space="preserve">仮設</t>
  </si>
  <si>
    <t xml:space="preserve">足場解体</t>
  </si>
  <si>
    <t xml:space="preserve">○○仮設</t>
  </si>
  <si>
    <t xml:space="preserve">外装</t>
  </si>
  <si>
    <t xml:space="preserve">外壁シーリング補修</t>
  </si>
  <si>
    <t xml:space="preserve">○○シーリング</t>
  </si>
  <si>
    <t xml:space="preserve">外構</t>
  </si>
  <si>
    <t xml:space="preserve">外構土間・植栽</t>
  </si>
  <si>
    <t xml:space="preserve">○○造園</t>
  </si>
  <si>
    <t xml:space="preserve">内装</t>
  </si>
  <si>
    <r>
      <rPr>
        <sz val="9"/>
        <color rgb="FF0000FF"/>
        <rFont val="Meiryo UI"/>
        <family val="0"/>
        <charset val="1"/>
      </rPr>
      <t xml:space="preserve">LGS</t>
    </r>
    <r>
      <rPr>
        <sz val="9"/>
        <color rgb="FF0000FF"/>
        <rFont val="WenQuanYi Zen Hei"/>
        <family val="2"/>
      </rPr>
      <t xml:space="preserve">下地</t>
    </r>
    <r>
      <rPr>
        <sz val="9"/>
        <color rgb="FF0000FF"/>
        <rFont val="Meiryo UI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残り</t>
    </r>
    <r>
      <rPr>
        <sz val="9"/>
        <color rgb="FF0000FF"/>
        <rFont val="Meiryo UI"/>
        <family val="0"/>
        <charset val="1"/>
      </rPr>
      <t xml:space="preserve">)</t>
    </r>
  </si>
  <si>
    <t xml:space="preserve">○○内装</t>
  </si>
  <si>
    <t xml:space="preserve">設備</t>
  </si>
  <si>
    <r>
      <rPr>
        <sz val="9"/>
        <color rgb="FF0000FF"/>
        <rFont val="WenQuanYi Zen Hei"/>
        <family val="2"/>
      </rPr>
      <t xml:space="preserve">電気配線・配管</t>
    </r>
    <r>
      <rPr>
        <sz val="9"/>
        <color rgb="FF0000FF"/>
        <rFont val="Meiryo UI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残り</t>
    </r>
    <r>
      <rPr>
        <sz val="9"/>
        <color rgb="FF0000FF"/>
        <rFont val="Meiryo UI"/>
        <family val="0"/>
        <charset val="1"/>
      </rPr>
      <t xml:space="preserve">)</t>
    </r>
  </si>
  <si>
    <t xml:space="preserve">○○電気</t>
  </si>
  <si>
    <t xml:space="preserve">ボード張り</t>
  </si>
  <si>
    <t xml:space="preserve">クロス・床仕上げ</t>
  </si>
  <si>
    <t xml:space="preserve">器具付け・試運転</t>
  </si>
  <si>
    <t xml:space="preserve">検査</t>
  </si>
  <si>
    <t xml:space="preserve">社内検査</t>
  </si>
  <si>
    <t xml:space="preserve">当社</t>
  </si>
  <si>
    <t xml:space="preserve">手直し</t>
  </si>
  <si>
    <t xml:space="preserve">各業者</t>
  </si>
  <si>
    <t xml:space="preserve">消防検査</t>
  </si>
  <si>
    <t xml:space="preserve">所轄消防</t>
  </si>
  <si>
    <r>
      <rPr>
        <sz val="9"/>
        <color rgb="FF0000FF"/>
        <rFont val="WenQuanYi Zen Hei"/>
        <family val="2"/>
      </rPr>
      <t xml:space="preserve">竣工検査</t>
    </r>
    <r>
      <rPr>
        <sz val="9"/>
        <color rgb="FF0000FF"/>
        <rFont val="Meiryo UI"/>
        <family val="0"/>
        <charset val="1"/>
      </rPr>
      <t xml:space="preserve">(</t>
    </r>
    <r>
      <rPr>
        <sz val="9"/>
        <color rgb="FF0000FF"/>
        <rFont val="WenQuanYi Zen Hei"/>
        <family val="2"/>
      </rPr>
      <t xml:space="preserve">施主</t>
    </r>
    <r>
      <rPr>
        <sz val="9"/>
        <color rgb="FF0000FF"/>
        <rFont val="Meiryo UI"/>
        <family val="0"/>
        <charset val="1"/>
      </rPr>
      <t xml:space="preserve">)</t>
    </r>
  </si>
  <si>
    <t xml:space="preserve">施主・設計</t>
  </si>
  <si>
    <t xml:space="preserve">引渡し</t>
  </si>
  <si>
    <t xml:space="preserve">記入方法</t>
  </si>
  <si>
    <t xml:space="preserve">黄色のセル</t>
  </si>
  <si>
    <t xml:space="preserve">入力するところ。青い文字は手入力の値です。</t>
  </si>
  <si>
    <t xml:space="preserve">青灰のセル</t>
  </si>
  <si>
    <t xml:space="preserve">自動計算（開始日・終了日・工期末）。触らないでください。</t>
  </si>
  <si>
    <r>
      <rPr>
        <b val="true"/>
        <sz val="10"/>
        <rFont val="WenQuanYi Zen Hei"/>
        <family val="2"/>
      </rPr>
      <t xml:space="preserve">工程基準日 </t>
    </r>
    <r>
      <rPr>
        <b val="true"/>
        <sz val="10"/>
        <rFont val="Meiryo UI"/>
        <family val="0"/>
        <charset val="1"/>
      </rPr>
      <t xml:space="preserve">(H2)</t>
    </r>
  </si>
  <si>
    <t xml:space="preserve">グリッドの初日。先行作業も指定開始日もない作業はこの日に始まります。</t>
  </si>
  <si>
    <t xml:space="preserve">作業ごとに重複しない番号。先行作業の指定に使います。</t>
  </si>
  <si>
    <r>
      <rPr>
        <b val="true"/>
        <sz val="10"/>
        <rFont val="WenQuanYi Zen Hei"/>
        <family val="2"/>
      </rPr>
      <t xml:space="preserve">先行作業</t>
    </r>
    <r>
      <rPr>
        <b val="true"/>
        <sz val="10"/>
        <rFont val="Meiryo UI"/>
        <family val="0"/>
        <charset val="1"/>
      </rPr>
      <t xml:space="preserve">No①②</t>
    </r>
  </si>
  <si>
    <r>
      <rPr>
        <sz val="10"/>
        <rFont val="WenQuanYi Zen Hei"/>
        <family val="2"/>
      </rPr>
      <t xml:space="preserve">その作業の前に終わっている必要がある作業の</t>
    </r>
    <r>
      <rPr>
        <sz val="10"/>
        <rFont val="Meiryo UI"/>
        <family val="0"/>
        <charset val="1"/>
      </rPr>
      <t xml:space="preserve">No</t>
    </r>
    <r>
      <rPr>
        <sz val="10"/>
        <rFont val="WenQuanYi Zen Hei"/>
        <family val="2"/>
      </rPr>
      <t xml:space="preserve">。例：ボード張り</t>
    </r>
    <r>
      <rPr>
        <sz val="10"/>
        <rFont val="Meiryo UI"/>
        <family val="0"/>
        <charset val="1"/>
      </rPr>
      <t xml:space="preserve">(6)</t>
    </r>
    <r>
      <rPr>
        <sz val="10"/>
        <rFont val="WenQuanYi Zen Hei"/>
        <family val="2"/>
      </rPr>
      <t xml:space="preserve">は配線</t>
    </r>
    <r>
      <rPr>
        <sz val="10"/>
        <rFont val="Meiryo UI"/>
        <family val="0"/>
        <charset val="1"/>
      </rPr>
      <t xml:space="preserve">(5)</t>
    </r>
    <r>
      <rPr>
        <sz val="10"/>
        <rFont val="WenQuanYi Zen Hei"/>
        <family val="2"/>
      </rPr>
      <t xml:space="preserve">の後 → </t>
    </r>
    <r>
      <rPr>
        <sz val="10"/>
        <rFont val="Meiryo UI"/>
        <family val="0"/>
        <charset val="1"/>
      </rPr>
      <t xml:space="preserve">6</t>
    </r>
    <r>
      <rPr>
        <sz val="10"/>
        <rFont val="WenQuanYi Zen Hei"/>
        <family val="2"/>
      </rPr>
      <t xml:space="preserve">の行の先行作業に「</t>
    </r>
    <r>
      <rPr>
        <sz val="10"/>
        <rFont val="Meiryo UI"/>
        <family val="0"/>
        <charset val="1"/>
      </rPr>
      <t xml:space="preserve">5</t>
    </r>
    <r>
      <rPr>
        <sz val="10"/>
        <rFont val="WenQuanYi Zen Hei"/>
        <family val="2"/>
      </rPr>
      <t xml:space="preserve">」。</t>
    </r>
  </si>
  <si>
    <t xml:space="preserve">待ち日数</t>
  </si>
  <si>
    <r>
      <rPr>
        <sz val="10"/>
        <rFont val="WenQuanYi Zen Hei"/>
        <family val="2"/>
      </rPr>
      <t xml:space="preserve">先行作業の終了から何日空けるか（養生期間など）。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なら翌日開始。</t>
    </r>
  </si>
  <si>
    <t xml:space="preserve">指定開始日</t>
  </si>
  <si>
    <t xml:space="preserve">日付を固定したいとき（検査日が決まっている等）。先行作業より遅ければこちらが優先。</t>
  </si>
  <si>
    <r>
      <rPr>
        <sz val="10"/>
        <rFont val="WenQuanYi Zen Hei"/>
        <family val="2"/>
      </rPr>
      <t xml:space="preserve">暦日での作業日数。</t>
    </r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を入れるとマイルストーン（検査・引渡し等）として赤で表示。</t>
    </r>
  </si>
  <si>
    <r>
      <rPr>
        <b val="true"/>
        <sz val="10"/>
        <rFont val="WenQuanYi Zen Hei"/>
        <family val="2"/>
      </rPr>
      <t xml:space="preserve">進捗</t>
    </r>
    <r>
      <rPr>
        <b val="true"/>
        <sz val="10"/>
        <rFont val="Meiryo UI"/>
        <family val="0"/>
        <charset val="1"/>
      </rPr>
      <t xml:space="preserve">%</t>
    </r>
  </si>
  <si>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100%</t>
    </r>
    <r>
      <rPr>
        <sz val="10"/>
        <rFont val="WenQuanYi Zen Hei"/>
        <family val="2"/>
      </rPr>
      <t xml:space="preserve">。バーの濃い部分が進捗。終了日を過ぎて</t>
    </r>
    <r>
      <rPr>
        <sz val="10"/>
        <rFont val="Meiryo UI"/>
        <family val="0"/>
        <charset val="1"/>
      </rPr>
      <t xml:space="preserve">100%</t>
    </r>
    <r>
      <rPr>
        <sz val="10"/>
        <rFont val="WenQuanYi Zen Hei"/>
        <family val="2"/>
      </rPr>
      <t xml:space="preserve">未満の行は赤字になります。</t>
    </r>
  </si>
  <si>
    <t xml:space="preserve">つながりの見方</t>
  </si>
  <si>
    <t xml:space="preserve">先行作業の日数を変えると、それに続く作業の開始日・終了日が自動でずれます。</t>
  </si>
  <si>
    <t xml:space="preserve">記入例</t>
  </si>
  <si>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13</t>
    </r>
    <r>
      <rPr>
        <sz val="10"/>
        <rFont val="WenQuanYi Zen Hei"/>
        <family val="2"/>
      </rPr>
      <t xml:space="preserve">行目はサンプルです。実際の作業に書き換えてください。不要な行は内容を消せば空行になります。</t>
    </r>
  </si>
  <si>
    <t xml:space="preserve">行の追加</t>
  </si>
  <si>
    <r>
      <rPr>
        <sz val="10"/>
        <rFont val="Meiryo UI"/>
        <family val="0"/>
        <charset val="1"/>
      </rPr>
      <t xml:space="preserve">40</t>
    </r>
    <r>
      <rPr>
        <sz val="10"/>
        <rFont val="WenQuanYi Zen Hei"/>
        <family val="2"/>
      </rPr>
      <t xml:space="preserve">行まで用意済み。足りないときは最終行をコピーして下に挿入してください（数式と書式がついてきます）。</t>
    </r>
  </si>
  <si>
    <t xml:space="preserve">表示期間</t>
  </si>
  <si>
    <r>
      <rPr>
        <sz val="10"/>
        <rFont val="WenQuanYi Zen Hei"/>
        <family val="2"/>
      </rPr>
      <t xml:space="preserve">グリッドは基準日から</t>
    </r>
    <r>
      <rPr>
        <sz val="10"/>
        <rFont val="Meiryo UI"/>
        <family val="0"/>
        <charset val="1"/>
      </rPr>
      <t xml:space="preserve">120</t>
    </r>
    <r>
      <rPr>
        <sz val="10"/>
        <rFont val="WenQuanYi Zen Hei"/>
        <family val="2"/>
      </rPr>
      <t xml:space="preserve">日分。印刷は</t>
    </r>
    <r>
      <rPr>
        <sz val="10"/>
        <rFont val="Meiryo UI"/>
        <family val="0"/>
        <charset val="1"/>
      </rPr>
      <t xml:space="preserve">A3</t>
    </r>
    <r>
      <rPr>
        <sz val="10"/>
        <rFont val="WenQuanYi Zen Hei"/>
        <family val="2"/>
      </rPr>
      <t xml:space="preserve">横・幅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ページに設定済み。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</si>
</sst>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\(AAA\)"/>
    <numFmt numFmtId="166" formatCode="d"/>
    <numFmt numFmtId="167" formatCode="m/d\(AAA\)"/>
    <numFmt numFmtId="168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9"/>
      <name val="WenQuanYi Zen Hei"/>
      <family val="2"/>
    </font>
    <font>
      <sz val="10"/>
      <name val="WenQuanYi Zen Hei"/>
      <family val="2"/>
    </font>
    <font>
      <sz val="10"/>
      <name val="Meiryo UI"/>
      <family val="0"/>
      <charset val="1"/>
    </font>
    <font>
      <sz val="9"/>
      <name val="WenQuanYi Zen Hei"/>
      <family val="2"/>
    </font>
    <font>
      <sz val="9"/>
      <name val="Meiryo UI"/>
      <family val="0"/>
      <charset val="1"/>
    </font>
    <font>
      <b val="true"/>
      <sz val="9"/>
      <name val="Meiryo UI"/>
      <family val="0"/>
      <charset val="1"/>
    </font>
    <font>
      <sz val="9"/>
      <color rgb="FF555555"/>
      <name val="WenQuanYi Zen Hei"/>
      <family val="2"/>
    </font>
    <font>
      <sz val="9"/>
      <color rgb="FF555555"/>
      <name val="Meiryo UI"/>
      <family val="0"/>
      <charset val="1"/>
    </font>
    <font>
      <b val="true"/>
      <sz val="9"/>
      <color rgb="FFFFFFFF"/>
      <name val="Meiryo UI"/>
      <family val="0"/>
      <charset val="1"/>
    </font>
    <font>
      <b val="true"/>
      <sz val="9"/>
      <color rgb="FFFFFFFF"/>
      <name val="WenQuanYi Zen Hei"/>
      <family val="2"/>
    </font>
    <font>
      <b val="true"/>
      <sz val="8"/>
      <name val="Meiryo UI"/>
      <family val="0"/>
      <charset val="1"/>
    </font>
    <font>
      <sz val="8"/>
      <name val="Meiryo UI"/>
      <family val="0"/>
      <charset val="1"/>
    </font>
    <font>
      <sz val="8"/>
      <name val="WenQuanYi Zen Hei"/>
      <family val="2"/>
    </font>
    <font>
      <sz val="9"/>
      <color rgb="FF0000FF"/>
      <name val="Meiryo UI"/>
      <family val="0"/>
      <charset val="1"/>
    </font>
    <font>
      <sz val="9"/>
      <color rgb="FF0000FF"/>
      <name val="WenQuanYi Zen Hei"/>
      <family val="2"/>
    </font>
    <font>
      <sz val="9"/>
      <color rgb="FF000000"/>
      <name val="Meiryo UI"/>
      <family val="0"/>
      <charset val="1"/>
    </font>
    <font>
      <sz val="10"/>
      <name val="Arial"/>
      <family val="2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b val="true"/>
      <sz val="10"/>
      <name val="Meiryo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DE4EC"/>
        <bgColor rgb="FFE0E0E0"/>
      </patternFill>
    </fill>
    <fill>
      <patternFill patternType="solid">
        <fgColor rgb="FFFFF9DB"/>
        <bgColor rgb="FFFFFFFF"/>
      </patternFill>
    </fill>
    <fill>
      <patternFill patternType="solid">
        <fgColor rgb="FFEEF3F8"/>
        <bgColor rgb="FFFFFFFF"/>
      </patternFill>
    </fill>
    <fill>
      <patternFill patternType="solid">
        <fgColor rgb="FF4A90D9"/>
        <bgColor rgb="FF339966"/>
      </patternFill>
    </fill>
    <fill>
      <patternFill patternType="solid">
        <fgColor rgb="FF1F4E79"/>
        <bgColor rgb="FF2F4F6F"/>
      </patternFill>
    </fill>
    <fill>
      <patternFill patternType="solid">
        <fgColor rgb="FFD9534F"/>
        <bgColor rgb="FFFF8080"/>
      </patternFill>
    </fill>
    <fill>
      <patternFill patternType="solid">
        <fgColor rgb="FFE0E0E0"/>
        <bgColor rgb="FFDDE4EC"/>
      </patternFill>
    </fill>
    <fill>
      <patternFill patternType="solid">
        <fgColor rgb="FF2F4F6F"/>
        <bgColor rgb="FF1F4E7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 style="hair">
        <color rgb="FFBBBBBB"/>
      </left>
      <right style="hair">
        <color rgb="FFBBBBBB"/>
      </right>
      <top style="thin">
        <color rgb="FF999999"/>
      </top>
      <bottom style="thin">
        <color rgb="FF999999"/>
      </bottom>
      <diagonal/>
    </border>
    <border diagonalUp="false" diagonalDown="false">
      <left style="hair">
        <color rgb="FFBBBBBB"/>
      </left>
      <right style="hair">
        <color rgb="FFBBBBBB"/>
      </right>
      <top style="hair">
        <color rgb="FFBBBBBB"/>
      </top>
      <bottom style="hair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9534F"/>
        </patternFill>
      </fill>
    </dxf>
    <dxf>
      <fill>
        <patternFill>
          <bgColor rgb="FF1F4E79"/>
        </patternFill>
      </fill>
    </dxf>
    <dxf>
      <fill>
        <patternFill>
          <bgColor rgb="FF4A90D9"/>
        </patternFill>
      </fill>
    </dxf>
    <dxf>
      <fill>
        <patternFill>
          <bgColor rgb="FFE0E0E0"/>
        </patternFill>
      </fill>
    </dxf>
    <dxf>
      <border diagonalUp="false" diagonalDown="false">
        <left style="medium">
          <color rgb="FFFF0000"/>
        </left>
        <right/>
        <top/>
        <bottom/>
        <diagonal/>
      </border>
    </dxf>
    <dxf>
      <font>
        <b val="1"/>
        <color rgb="FFC00000"/>
      </font>
    </dxf>
    <dxf>
      <font>
        <color rgb="FF1F4E9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DB"/>
      <rgbColor rgb="FFEEF3F8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4EC"/>
      <rgbColor rgb="FFCCFFCC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C00"/>
      <rgbColor rgb="FFFF9900"/>
      <rgbColor rgb="FFD9534F"/>
      <rgbColor rgb="FF555555"/>
      <rgbColor rgb="FF999999"/>
      <rgbColor rgb="FF1F4E79"/>
      <rgbColor rgb="FF339966"/>
      <rgbColor rgb="FF003300"/>
      <rgbColor rgb="FF333300"/>
      <rgbColor rgb="FF993300"/>
      <rgbColor rgb="FF993366"/>
      <rgbColor rgb="FF1F4E99"/>
      <rgbColor rgb="FF2F4F6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B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M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7"/>
    <col collapsed="false" customWidth="true" hidden="false" outlineLevel="0" max="7" min="7" style="0" width="5"/>
    <col collapsed="false" customWidth="true" hidden="false" outlineLevel="0" max="8" min="8" style="0" width="10"/>
    <col collapsed="false" customWidth="true" hidden="false" outlineLevel="0" max="10" min="9" style="0" width="10.51"/>
    <col collapsed="false" customWidth="true" hidden="false" outlineLevel="0" max="11" min="11" style="0" width="5"/>
    <col collapsed="false" customWidth="true" hidden="false" outlineLevel="0" max="12" min="12" style="0" width="5.51"/>
    <col collapsed="false" customWidth="true" hidden="false" outlineLevel="0" max="132" min="13" style="0" width="2.9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3" t="s">
        <v>2</v>
      </c>
      <c r="D2" s="3"/>
      <c r="E2" s="3"/>
      <c r="F2" s="2" t="s">
        <v>3</v>
      </c>
      <c r="G2" s="2"/>
      <c r="H2" s="4" t="n">
        <v>46328</v>
      </c>
      <c r="I2" s="4"/>
      <c r="M2" s="5" t="s">
        <v>4</v>
      </c>
    </row>
    <row r="3" customFormat="false" ht="15" hidden="false" customHeight="false" outlineLevel="0" collapsed="false">
      <c r="A3" s="2" t="s">
        <v>5</v>
      </c>
      <c r="B3" s="2"/>
      <c r="C3" s="4" t="n">
        <v>46317</v>
      </c>
      <c r="D3" s="4"/>
      <c r="E3" s="4"/>
      <c r="F3" s="2" t="s">
        <v>6</v>
      </c>
      <c r="G3" s="2"/>
      <c r="H3" s="6" t="n">
        <f aca="true">TODAY()</f>
        <v>46317</v>
      </c>
      <c r="I3" s="6"/>
      <c r="M3" s="7"/>
      <c r="N3" s="8" t="s">
        <v>7</v>
      </c>
      <c r="R3" s="9"/>
      <c r="S3" s="8" t="s">
        <v>8</v>
      </c>
      <c r="X3" s="10"/>
      <c r="Y3" s="8" t="s">
        <v>9</v>
      </c>
      <c r="AB3" s="11"/>
      <c r="AC3" s="8" t="s">
        <v>10</v>
      </c>
      <c r="AH3" s="12"/>
      <c r="AI3" s="8" t="s">
        <v>11</v>
      </c>
      <c r="AR3" s="13"/>
      <c r="AS3" s="8" t="s">
        <v>12</v>
      </c>
      <c r="AV3" s="14"/>
      <c r="AW3" s="8" t="s">
        <v>6</v>
      </c>
    </row>
    <row r="4" customFormat="false" ht="15" hidden="false" customHeight="false" outlineLevel="0" collapsed="false">
      <c r="A4" s="2" t="s">
        <v>13</v>
      </c>
      <c r="B4" s="2"/>
      <c r="C4" s="3"/>
      <c r="D4" s="3"/>
      <c r="E4" s="3"/>
      <c r="F4" s="2" t="s">
        <v>14</v>
      </c>
      <c r="G4" s="2"/>
      <c r="H4" s="6" t="n">
        <f aca="false">MAX(J8:J47)</f>
        <v>46370</v>
      </c>
      <c r="I4" s="6"/>
      <c r="M4" s="15" t="s">
        <v>15</v>
      </c>
    </row>
    <row r="5" customFormat="false" ht="15" hidden="false" customHeight="true" outlineLevel="0" collapsed="false">
      <c r="A5" s="16" t="s">
        <v>16</v>
      </c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17" t="s">
        <v>22</v>
      </c>
      <c r="H5" s="17" t="s">
        <v>23</v>
      </c>
      <c r="I5" s="17" t="s">
        <v>24</v>
      </c>
      <c r="J5" s="17" t="s">
        <v>25</v>
      </c>
      <c r="K5" s="17" t="s">
        <v>26</v>
      </c>
      <c r="L5" s="17" t="s">
        <v>27</v>
      </c>
      <c r="M5" s="18" t="str">
        <f aca="false">IF(OR(M6=$H$2,DAY(M6)=1),MONTH(M6)&amp;"月","")</f>
        <v>11月</v>
      </c>
      <c r="N5" s="18" t="str">
        <f aca="false">IF(OR(N6=$H$2,DAY(N6)=1),MONTH(N6)&amp;"月","")</f>
        <v/>
      </c>
      <c r="O5" s="18" t="str">
        <f aca="false">IF(OR(O6=$H$2,DAY(O6)=1),MONTH(O6)&amp;"月","")</f>
        <v/>
      </c>
      <c r="P5" s="18" t="str">
        <f aca="false">IF(OR(P6=$H$2,DAY(P6)=1),MONTH(P6)&amp;"月","")</f>
        <v/>
      </c>
      <c r="Q5" s="18" t="str">
        <f aca="false">IF(OR(Q6=$H$2,DAY(Q6)=1),MONTH(Q6)&amp;"月","")</f>
        <v/>
      </c>
      <c r="R5" s="18" t="str">
        <f aca="false">IF(OR(R6=$H$2,DAY(R6)=1),MONTH(R6)&amp;"月","")</f>
        <v/>
      </c>
      <c r="S5" s="18" t="str">
        <f aca="false">IF(OR(S6=$H$2,DAY(S6)=1),MONTH(S6)&amp;"月","")</f>
        <v/>
      </c>
      <c r="T5" s="18" t="str">
        <f aca="false">IF(OR(T6=$H$2,DAY(T6)=1),MONTH(T6)&amp;"月","")</f>
        <v/>
      </c>
      <c r="U5" s="18" t="str">
        <f aca="false">IF(OR(U6=$H$2,DAY(U6)=1),MONTH(U6)&amp;"月","")</f>
        <v/>
      </c>
      <c r="V5" s="18" t="str">
        <f aca="false">IF(OR(V6=$H$2,DAY(V6)=1),MONTH(V6)&amp;"月","")</f>
        <v/>
      </c>
      <c r="W5" s="18" t="str">
        <f aca="false">IF(OR(W6=$H$2,DAY(W6)=1),MONTH(W6)&amp;"月","")</f>
        <v/>
      </c>
      <c r="X5" s="18" t="str">
        <f aca="false">IF(OR(X6=$H$2,DAY(X6)=1),MONTH(X6)&amp;"月","")</f>
        <v/>
      </c>
      <c r="Y5" s="18" t="str">
        <f aca="false">IF(OR(Y6=$H$2,DAY(Y6)=1),MONTH(Y6)&amp;"月","")</f>
        <v/>
      </c>
      <c r="Z5" s="18" t="str">
        <f aca="false">IF(OR(Z6=$H$2,DAY(Z6)=1),MONTH(Z6)&amp;"月","")</f>
        <v/>
      </c>
      <c r="AA5" s="18" t="str">
        <f aca="false">IF(OR(AA6=$H$2,DAY(AA6)=1),MONTH(AA6)&amp;"月","")</f>
        <v/>
      </c>
      <c r="AB5" s="18" t="str">
        <f aca="false">IF(OR(AB6=$H$2,DAY(AB6)=1),MONTH(AB6)&amp;"月","")</f>
        <v/>
      </c>
      <c r="AC5" s="18" t="str">
        <f aca="false">IF(OR(AC6=$H$2,DAY(AC6)=1),MONTH(AC6)&amp;"月","")</f>
        <v/>
      </c>
      <c r="AD5" s="18" t="str">
        <f aca="false">IF(OR(AD6=$H$2,DAY(AD6)=1),MONTH(AD6)&amp;"月","")</f>
        <v/>
      </c>
      <c r="AE5" s="18" t="str">
        <f aca="false">IF(OR(AE6=$H$2,DAY(AE6)=1),MONTH(AE6)&amp;"月","")</f>
        <v/>
      </c>
      <c r="AF5" s="18" t="str">
        <f aca="false">IF(OR(AF6=$H$2,DAY(AF6)=1),MONTH(AF6)&amp;"月","")</f>
        <v/>
      </c>
      <c r="AG5" s="18" t="str">
        <f aca="false">IF(OR(AG6=$H$2,DAY(AG6)=1),MONTH(AG6)&amp;"月","")</f>
        <v/>
      </c>
      <c r="AH5" s="18" t="str">
        <f aca="false">IF(OR(AH6=$H$2,DAY(AH6)=1),MONTH(AH6)&amp;"月","")</f>
        <v/>
      </c>
      <c r="AI5" s="18" t="str">
        <f aca="false">IF(OR(AI6=$H$2,DAY(AI6)=1),MONTH(AI6)&amp;"月","")</f>
        <v/>
      </c>
      <c r="AJ5" s="18" t="str">
        <f aca="false">IF(OR(AJ6=$H$2,DAY(AJ6)=1),MONTH(AJ6)&amp;"月","")</f>
        <v/>
      </c>
      <c r="AK5" s="18" t="str">
        <f aca="false">IF(OR(AK6=$H$2,DAY(AK6)=1),MONTH(AK6)&amp;"月","")</f>
        <v/>
      </c>
      <c r="AL5" s="18" t="str">
        <f aca="false">IF(OR(AL6=$H$2,DAY(AL6)=1),MONTH(AL6)&amp;"月","")</f>
        <v/>
      </c>
      <c r="AM5" s="18" t="str">
        <f aca="false">IF(OR(AM6=$H$2,DAY(AM6)=1),MONTH(AM6)&amp;"月","")</f>
        <v/>
      </c>
      <c r="AN5" s="18" t="str">
        <f aca="false">IF(OR(AN6=$H$2,DAY(AN6)=1),MONTH(AN6)&amp;"月","")</f>
        <v/>
      </c>
      <c r="AO5" s="18" t="str">
        <f aca="false">IF(OR(AO6=$H$2,DAY(AO6)=1),MONTH(AO6)&amp;"月","")</f>
        <v/>
      </c>
      <c r="AP5" s="18" t="str">
        <f aca="false">IF(OR(AP6=$H$2,DAY(AP6)=1),MONTH(AP6)&amp;"月","")</f>
        <v>12月</v>
      </c>
      <c r="AQ5" s="18" t="str">
        <f aca="false">IF(OR(AQ6=$H$2,DAY(AQ6)=1),MONTH(AQ6)&amp;"月","")</f>
        <v/>
      </c>
      <c r="AR5" s="18" t="str">
        <f aca="false">IF(OR(AR6=$H$2,DAY(AR6)=1),MONTH(AR6)&amp;"月","")</f>
        <v/>
      </c>
      <c r="AS5" s="18" t="str">
        <f aca="false">IF(OR(AS6=$H$2,DAY(AS6)=1),MONTH(AS6)&amp;"月","")</f>
        <v/>
      </c>
      <c r="AT5" s="18" t="str">
        <f aca="false">IF(OR(AT6=$H$2,DAY(AT6)=1),MONTH(AT6)&amp;"月","")</f>
        <v/>
      </c>
      <c r="AU5" s="18" t="str">
        <f aca="false">IF(OR(AU6=$H$2,DAY(AU6)=1),MONTH(AU6)&amp;"月","")</f>
        <v/>
      </c>
      <c r="AV5" s="18" t="str">
        <f aca="false">IF(OR(AV6=$H$2,DAY(AV6)=1),MONTH(AV6)&amp;"月","")</f>
        <v/>
      </c>
      <c r="AW5" s="18" t="str">
        <f aca="false">IF(OR(AW6=$H$2,DAY(AW6)=1),MONTH(AW6)&amp;"月","")</f>
        <v/>
      </c>
      <c r="AX5" s="18" t="str">
        <f aca="false">IF(OR(AX6=$H$2,DAY(AX6)=1),MONTH(AX6)&amp;"月","")</f>
        <v/>
      </c>
      <c r="AY5" s="18" t="str">
        <f aca="false">IF(OR(AY6=$H$2,DAY(AY6)=1),MONTH(AY6)&amp;"月","")</f>
        <v/>
      </c>
      <c r="AZ5" s="18" t="str">
        <f aca="false">IF(OR(AZ6=$H$2,DAY(AZ6)=1),MONTH(AZ6)&amp;"月","")</f>
        <v/>
      </c>
      <c r="BA5" s="18" t="str">
        <f aca="false">IF(OR(BA6=$H$2,DAY(BA6)=1),MONTH(BA6)&amp;"月","")</f>
        <v/>
      </c>
      <c r="BB5" s="18" t="str">
        <f aca="false">IF(OR(BB6=$H$2,DAY(BB6)=1),MONTH(BB6)&amp;"月","")</f>
        <v/>
      </c>
      <c r="BC5" s="18" t="str">
        <f aca="false">IF(OR(BC6=$H$2,DAY(BC6)=1),MONTH(BC6)&amp;"月","")</f>
        <v/>
      </c>
      <c r="BD5" s="18" t="str">
        <f aca="false">IF(OR(BD6=$H$2,DAY(BD6)=1),MONTH(BD6)&amp;"月","")</f>
        <v/>
      </c>
      <c r="BE5" s="18" t="str">
        <f aca="false">IF(OR(BE6=$H$2,DAY(BE6)=1),MONTH(BE6)&amp;"月","")</f>
        <v/>
      </c>
      <c r="BF5" s="18" t="str">
        <f aca="false">IF(OR(BF6=$H$2,DAY(BF6)=1),MONTH(BF6)&amp;"月","")</f>
        <v/>
      </c>
      <c r="BG5" s="18" t="str">
        <f aca="false">IF(OR(BG6=$H$2,DAY(BG6)=1),MONTH(BG6)&amp;"月","")</f>
        <v/>
      </c>
      <c r="BH5" s="18" t="str">
        <f aca="false">IF(OR(BH6=$H$2,DAY(BH6)=1),MONTH(BH6)&amp;"月","")</f>
        <v/>
      </c>
      <c r="BI5" s="18" t="str">
        <f aca="false">IF(OR(BI6=$H$2,DAY(BI6)=1),MONTH(BI6)&amp;"月","")</f>
        <v/>
      </c>
      <c r="BJ5" s="18" t="str">
        <f aca="false">IF(OR(BJ6=$H$2,DAY(BJ6)=1),MONTH(BJ6)&amp;"月","")</f>
        <v/>
      </c>
      <c r="BK5" s="18" t="str">
        <f aca="false">IF(OR(BK6=$H$2,DAY(BK6)=1),MONTH(BK6)&amp;"月","")</f>
        <v/>
      </c>
      <c r="BL5" s="18" t="str">
        <f aca="false">IF(OR(BL6=$H$2,DAY(BL6)=1),MONTH(BL6)&amp;"月","")</f>
        <v/>
      </c>
      <c r="BM5" s="18" t="str">
        <f aca="false">IF(OR(BM6=$H$2,DAY(BM6)=1),MONTH(BM6)&amp;"月","")</f>
        <v/>
      </c>
      <c r="BN5" s="18" t="str">
        <f aca="false">IF(OR(BN6=$H$2,DAY(BN6)=1),MONTH(BN6)&amp;"月","")</f>
        <v/>
      </c>
      <c r="BO5" s="18" t="str">
        <f aca="false">IF(OR(BO6=$H$2,DAY(BO6)=1),MONTH(BO6)&amp;"月","")</f>
        <v/>
      </c>
      <c r="BP5" s="18" t="str">
        <f aca="false">IF(OR(BP6=$H$2,DAY(BP6)=1),MONTH(BP6)&amp;"月","")</f>
        <v/>
      </c>
      <c r="BQ5" s="18" t="str">
        <f aca="false">IF(OR(BQ6=$H$2,DAY(BQ6)=1),MONTH(BQ6)&amp;"月","")</f>
        <v/>
      </c>
      <c r="BR5" s="18" t="str">
        <f aca="false">IF(OR(BR6=$H$2,DAY(BR6)=1),MONTH(BR6)&amp;"月","")</f>
        <v/>
      </c>
      <c r="BS5" s="18" t="str">
        <f aca="false">IF(OR(BS6=$H$2,DAY(BS6)=1),MONTH(BS6)&amp;"月","")</f>
        <v/>
      </c>
      <c r="BT5" s="18" t="str">
        <f aca="false">IF(OR(BT6=$H$2,DAY(BT6)=1),MONTH(BT6)&amp;"月","")</f>
        <v/>
      </c>
      <c r="BU5" s="18" t="str">
        <f aca="false">IF(OR(BU6=$H$2,DAY(BU6)=1),MONTH(BU6)&amp;"月","")</f>
        <v>1月</v>
      </c>
      <c r="BV5" s="18" t="str">
        <f aca="false">IF(OR(BV6=$H$2,DAY(BV6)=1),MONTH(BV6)&amp;"月","")</f>
        <v/>
      </c>
      <c r="BW5" s="18" t="str">
        <f aca="false">IF(OR(BW6=$H$2,DAY(BW6)=1),MONTH(BW6)&amp;"月","")</f>
        <v/>
      </c>
      <c r="BX5" s="18" t="str">
        <f aca="false">IF(OR(BX6=$H$2,DAY(BX6)=1),MONTH(BX6)&amp;"月","")</f>
        <v/>
      </c>
      <c r="BY5" s="18" t="str">
        <f aca="false">IF(OR(BY6=$H$2,DAY(BY6)=1),MONTH(BY6)&amp;"月","")</f>
        <v/>
      </c>
      <c r="BZ5" s="18" t="str">
        <f aca="false">IF(OR(BZ6=$H$2,DAY(BZ6)=1),MONTH(BZ6)&amp;"月","")</f>
        <v/>
      </c>
      <c r="CA5" s="18" t="str">
        <f aca="false">IF(OR(CA6=$H$2,DAY(CA6)=1),MONTH(CA6)&amp;"月","")</f>
        <v/>
      </c>
      <c r="CB5" s="18" t="str">
        <f aca="false">IF(OR(CB6=$H$2,DAY(CB6)=1),MONTH(CB6)&amp;"月","")</f>
        <v/>
      </c>
      <c r="CC5" s="18" t="str">
        <f aca="false">IF(OR(CC6=$H$2,DAY(CC6)=1),MONTH(CC6)&amp;"月","")</f>
        <v/>
      </c>
      <c r="CD5" s="18" t="str">
        <f aca="false">IF(OR(CD6=$H$2,DAY(CD6)=1),MONTH(CD6)&amp;"月","")</f>
        <v/>
      </c>
      <c r="CE5" s="18" t="str">
        <f aca="false">IF(OR(CE6=$H$2,DAY(CE6)=1),MONTH(CE6)&amp;"月","")</f>
        <v/>
      </c>
      <c r="CF5" s="18" t="str">
        <f aca="false">IF(OR(CF6=$H$2,DAY(CF6)=1),MONTH(CF6)&amp;"月","")</f>
        <v/>
      </c>
      <c r="CG5" s="18" t="str">
        <f aca="false">IF(OR(CG6=$H$2,DAY(CG6)=1),MONTH(CG6)&amp;"月","")</f>
        <v/>
      </c>
      <c r="CH5" s="18" t="str">
        <f aca="false">IF(OR(CH6=$H$2,DAY(CH6)=1),MONTH(CH6)&amp;"月","")</f>
        <v/>
      </c>
      <c r="CI5" s="18" t="str">
        <f aca="false">IF(OR(CI6=$H$2,DAY(CI6)=1),MONTH(CI6)&amp;"月","")</f>
        <v/>
      </c>
      <c r="CJ5" s="18" t="str">
        <f aca="false">IF(OR(CJ6=$H$2,DAY(CJ6)=1),MONTH(CJ6)&amp;"月","")</f>
        <v/>
      </c>
      <c r="CK5" s="18" t="str">
        <f aca="false">IF(OR(CK6=$H$2,DAY(CK6)=1),MONTH(CK6)&amp;"月","")</f>
        <v/>
      </c>
      <c r="CL5" s="18" t="str">
        <f aca="false">IF(OR(CL6=$H$2,DAY(CL6)=1),MONTH(CL6)&amp;"月","")</f>
        <v/>
      </c>
      <c r="CM5" s="18" t="str">
        <f aca="false">IF(OR(CM6=$H$2,DAY(CM6)=1),MONTH(CM6)&amp;"月","")</f>
        <v/>
      </c>
      <c r="CN5" s="18" t="str">
        <f aca="false">IF(OR(CN6=$H$2,DAY(CN6)=1),MONTH(CN6)&amp;"月","")</f>
        <v/>
      </c>
      <c r="CO5" s="18" t="str">
        <f aca="false">IF(OR(CO6=$H$2,DAY(CO6)=1),MONTH(CO6)&amp;"月","")</f>
        <v/>
      </c>
      <c r="CP5" s="18" t="str">
        <f aca="false">IF(OR(CP6=$H$2,DAY(CP6)=1),MONTH(CP6)&amp;"月","")</f>
        <v/>
      </c>
      <c r="CQ5" s="18" t="str">
        <f aca="false">IF(OR(CQ6=$H$2,DAY(CQ6)=1),MONTH(CQ6)&amp;"月","")</f>
        <v/>
      </c>
      <c r="CR5" s="18" t="str">
        <f aca="false">IF(OR(CR6=$H$2,DAY(CR6)=1),MONTH(CR6)&amp;"月","")</f>
        <v/>
      </c>
      <c r="CS5" s="18" t="str">
        <f aca="false">IF(OR(CS6=$H$2,DAY(CS6)=1),MONTH(CS6)&amp;"月","")</f>
        <v/>
      </c>
      <c r="CT5" s="18" t="str">
        <f aca="false">IF(OR(CT6=$H$2,DAY(CT6)=1),MONTH(CT6)&amp;"月","")</f>
        <v/>
      </c>
      <c r="CU5" s="18" t="str">
        <f aca="false">IF(OR(CU6=$H$2,DAY(CU6)=1),MONTH(CU6)&amp;"月","")</f>
        <v/>
      </c>
      <c r="CV5" s="18" t="str">
        <f aca="false">IF(OR(CV6=$H$2,DAY(CV6)=1),MONTH(CV6)&amp;"月","")</f>
        <v/>
      </c>
      <c r="CW5" s="18" t="str">
        <f aca="false">IF(OR(CW6=$H$2,DAY(CW6)=1),MONTH(CW6)&amp;"月","")</f>
        <v/>
      </c>
      <c r="CX5" s="18" t="str">
        <f aca="false">IF(OR(CX6=$H$2,DAY(CX6)=1),MONTH(CX6)&amp;"月","")</f>
        <v/>
      </c>
      <c r="CY5" s="18" t="str">
        <f aca="false">IF(OR(CY6=$H$2,DAY(CY6)=1),MONTH(CY6)&amp;"月","")</f>
        <v/>
      </c>
      <c r="CZ5" s="18" t="str">
        <f aca="false">IF(OR(CZ6=$H$2,DAY(CZ6)=1),MONTH(CZ6)&amp;"月","")</f>
        <v>2月</v>
      </c>
      <c r="DA5" s="18" t="str">
        <f aca="false">IF(OR(DA6=$H$2,DAY(DA6)=1),MONTH(DA6)&amp;"月","")</f>
        <v/>
      </c>
      <c r="DB5" s="18" t="str">
        <f aca="false">IF(OR(DB6=$H$2,DAY(DB6)=1),MONTH(DB6)&amp;"月","")</f>
        <v/>
      </c>
      <c r="DC5" s="18" t="str">
        <f aca="false">IF(OR(DC6=$H$2,DAY(DC6)=1),MONTH(DC6)&amp;"月","")</f>
        <v/>
      </c>
      <c r="DD5" s="18" t="str">
        <f aca="false">IF(OR(DD6=$H$2,DAY(DD6)=1),MONTH(DD6)&amp;"月","")</f>
        <v/>
      </c>
      <c r="DE5" s="18" t="str">
        <f aca="false">IF(OR(DE6=$H$2,DAY(DE6)=1),MONTH(DE6)&amp;"月","")</f>
        <v/>
      </c>
      <c r="DF5" s="18" t="str">
        <f aca="false">IF(OR(DF6=$H$2,DAY(DF6)=1),MONTH(DF6)&amp;"月","")</f>
        <v/>
      </c>
      <c r="DG5" s="18" t="str">
        <f aca="false">IF(OR(DG6=$H$2,DAY(DG6)=1),MONTH(DG6)&amp;"月","")</f>
        <v/>
      </c>
      <c r="DH5" s="18" t="str">
        <f aca="false">IF(OR(DH6=$H$2,DAY(DH6)=1),MONTH(DH6)&amp;"月","")</f>
        <v/>
      </c>
      <c r="DI5" s="18" t="str">
        <f aca="false">IF(OR(DI6=$H$2,DAY(DI6)=1),MONTH(DI6)&amp;"月","")</f>
        <v/>
      </c>
      <c r="DJ5" s="18" t="str">
        <f aca="false">IF(OR(DJ6=$H$2,DAY(DJ6)=1),MONTH(DJ6)&amp;"月","")</f>
        <v/>
      </c>
      <c r="DK5" s="18" t="str">
        <f aca="false">IF(OR(DK6=$H$2,DAY(DK6)=1),MONTH(DK6)&amp;"月","")</f>
        <v/>
      </c>
      <c r="DL5" s="18" t="str">
        <f aca="false">IF(OR(DL6=$H$2,DAY(DL6)=1),MONTH(DL6)&amp;"月","")</f>
        <v/>
      </c>
      <c r="DM5" s="18" t="str">
        <f aca="false">IF(OR(DM6=$H$2,DAY(DM6)=1),MONTH(DM6)&amp;"月","")</f>
        <v/>
      </c>
      <c r="DN5" s="18" t="str">
        <f aca="false">IF(OR(DN6=$H$2,DAY(DN6)=1),MONTH(DN6)&amp;"月","")</f>
        <v/>
      </c>
      <c r="DO5" s="18" t="str">
        <f aca="false">IF(OR(DO6=$H$2,DAY(DO6)=1),MONTH(DO6)&amp;"月","")</f>
        <v/>
      </c>
      <c r="DP5" s="18" t="str">
        <f aca="false">IF(OR(DP6=$H$2,DAY(DP6)=1),MONTH(DP6)&amp;"月","")</f>
        <v/>
      </c>
      <c r="DQ5" s="18" t="str">
        <f aca="false">IF(OR(DQ6=$H$2,DAY(DQ6)=1),MONTH(DQ6)&amp;"月","")</f>
        <v/>
      </c>
      <c r="DR5" s="18" t="str">
        <f aca="false">IF(OR(DR6=$H$2,DAY(DR6)=1),MONTH(DR6)&amp;"月","")</f>
        <v/>
      </c>
      <c r="DS5" s="18" t="str">
        <f aca="false">IF(OR(DS6=$H$2,DAY(DS6)=1),MONTH(DS6)&amp;"月","")</f>
        <v/>
      </c>
      <c r="DT5" s="18" t="str">
        <f aca="false">IF(OR(DT6=$H$2,DAY(DT6)=1),MONTH(DT6)&amp;"月","")</f>
        <v/>
      </c>
      <c r="DU5" s="18" t="str">
        <f aca="false">IF(OR(DU6=$H$2,DAY(DU6)=1),MONTH(DU6)&amp;"月","")</f>
        <v/>
      </c>
      <c r="DV5" s="18" t="str">
        <f aca="false">IF(OR(DV6=$H$2,DAY(DV6)=1),MONTH(DV6)&amp;"月","")</f>
        <v/>
      </c>
      <c r="DW5" s="18" t="str">
        <f aca="false">IF(OR(DW6=$H$2,DAY(DW6)=1),MONTH(DW6)&amp;"月","")</f>
        <v/>
      </c>
      <c r="DX5" s="18" t="str">
        <f aca="false">IF(OR(DX6=$H$2,DAY(DX6)=1),MONTH(DX6)&amp;"月","")</f>
        <v/>
      </c>
      <c r="DY5" s="18" t="str">
        <f aca="false">IF(OR(DY6=$H$2,DAY(DY6)=1),MONTH(DY6)&amp;"月","")</f>
        <v/>
      </c>
      <c r="DZ5" s="18" t="str">
        <f aca="false">IF(OR(DZ6=$H$2,DAY(DZ6)=1),MONTH(DZ6)&amp;"月","")</f>
        <v/>
      </c>
      <c r="EA5" s="18" t="str">
        <f aca="false">IF(OR(EA6=$H$2,DAY(EA6)=1),MONTH(EA6)&amp;"月","")</f>
        <v/>
      </c>
      <c r="EB5" s="18" t="str">
        <f aca="false">IF(OR(EB6=$H$2,DAY(EB6)=1),MONTH(EB6)&amp;"月","")</f>
        <v>3月</v>
      </c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9" t="n">
        <f aca="false">$H$2</f>
        <v>46328</v>
      </c>
      <c r="N6" s="19" t="n">
        <f aca="false">M6+1</f>
        <v>46329</v>
      </c>
      <c r="O6" s="19" t="n">
        <f aca="false">N6+1</f>
        <v>46330</v>
      </c>
      <c r="P6" s="19" t="n">
        <f aca="false">O6+1</f>
        <v>46331</v>
      </c>
      <c r="Q6" s="19" t="n">
        <f aca="false">P6+1</f>
        <v>46332</v>
      </c>
      <c r="R6" s="19" t="n">
        <f aca="false">Q6+1</f>
        <v>46333</v>
      </c>
      <c r="S6" s="19" t="n">
        <f aca="false">R6+1</f>
        <v>46334</v>
      </c>
      <c r="T6" s="19" t="n">
        <f aca="false">S6+1</f>
        <v>46335</v>
      </c>
      <c r="U6" s="19" t="n">
        <f aca="false">T6+1</f>
        <v>46336</v>
      </c>
      <c r="V6" s="19" t="n">
        <f aca="false">U6+1</f>
        <v>46337</v>
      </c>
      <c r="W6" s="19" t="n">
        <f aca="false">V6+1</f>
        <v>46338</v>
      </c>
      <c r="X6" s="19" t="n">
        <f aca="false">W6+1</f>
        <v>46339</v>
      </c>
      <c r="Y6" s="19" t="n">
        <f aca="false">X6+1</f>
        <v>46340</v>
      </c>
      <c r="Z6" s="19" t="n">
        <f aca="false">Y6+1</f>
        <v>46341</v>
      </c>
      <c r="AA6" s="19" t="n">
        <f aca="false">Z6+1</f>
        <v>46342</v>
      </c>
      <c r="AB6" s="19" t="n">
        <f aca="false">AA6+1</f>
        <v>46343</v>
      </c>
      <c r="AC6" s="19" t="n">
        <f aca="false">AB6+1</f>
        <v>46344</v>
      </c>
      <c r="AD6" s="19" t="n">
        <f aca="false">AC6+1</f>
        <v>46345</v>
      </c>
      <c r="AE6" s="19" t="n">
        <f aca="false">AD6+1</f>
        <v>46346</v>
      </c>
      <c r="AF6" s="19" t="n">
        <f aca="false">AE6+1</f>
        <v>46347</v>
      </c>
      <c r="AG6" s="19" t="n">
        <f aca="false">AF6+1</f>
        <v>46348</v>
      </c>
      <c r="AH6" s="19" t="n">
        <f aca="false">AG6+1</f>
        <v>46349</v>
      </c>
      <c r="AI6" s="19" t="n">
        <f aca="false">AH6+1</f>
        <v>46350</v>
      </c>
      <c r="AJ6" s="19" t="n">
        <f aca="false">AI6+1</f>
        <v>46351</v>
      </c>
      <c r="AK6" s="19" t="n">
        <f aca="false">AJ6+1</f>
        <v>46352</v>
      </c>
      <c r="AL6" s="19" t="n">
        <f aca="false">AK6+1</f>
        <v>46353</v>
      </c>
      <c r="AM6" s="19" t="n">
        <f aca="false">AL6+1</f>
        <v>46354</v>
      </c>
      <c r="AN6" s="19" t="n">
        <f aca="false">AM6+1</f>
        <v>46355</v>
      </c>
      <c r="AO6" s="19" t="n">
        <f aca="false">AN6+1</f>
        <v>46356</v>
      </c>
      <c r="AP6" s="19" t="n">
        <f aca="false">AO6+1</f>
        <v>46357</v>
      </c>
      <c r="AQ6" s="19" t="n">
        <f aca="false">AP6+1</f>
        <v>46358</v>
      </c>
      <c r="AR6" s="19" t="n">
        <f aca="false">AQ6+1</f>
        <v>46359</v>
      </c>
      <c r="AS6" s="19" t="n">
        <f aca="false">AR6+1</f>
        <v>46360</v>
      </c>
      <c r="AT6" s="19" t="n">
        <f aca="false">AS6+1</f>
        <v>46361</v>
      </c>
      <c r="AU6" s="19" t="n">
        <f aca="false">AT6+1</f>
        <v>46362</v>
      </c>
      <c r="AV6" s="19" t="n">
        <f aca="false">AU6+1</f>
        <v>46363</v>
      </c>
      <c r="AW6" s="19" t="n">
        <f aca="false">AV6+1</f>
        <v>46364</v>
      </c>
      <c r="AX6" s="19" t="n">
        <f aca="false">AW6+1</f>
        <v>46365</v>
      </c>
      <c r="AY6" s="19" t="n">
        <f aca="false">AX6+1</f>
        <v>46366</v>
      </c>
      <c r="AZ6" s="19" t="n">
        <f aca="false">AY6+1</f>
        <v>46367</v>
      </c>
      <c r="BA6" s="19" t="n">
        <f aca="false">AZ6+1</f>
        <v>46368</v>
      </c>
      <c r="BB6" s="19" t="n">
        <f aca="false">BA6+1</f>
        <v>46369</v>
      </c>
      <c r="BC6" s="19" t="n">
        <f aca="false">BB6+1</f>
        <v>46370</v>
      </c>
      <c r="BD6" s="19" t="n">
        <f aca="false">BC6+1</f>
        <v>46371</v>
      </c>
      <c r="BE6" s="19" t="n">
        <f aca="false">BD6+1</f>
        <v>46372</v>
      </c>
      <c r="BF6" s="19" t="n">
        <f aca="false">BE6+1</f>
        <v>46373</v>
      </c>
      <c r="BG6" s="19" t="n">
        <f aca="false">BF6+1</f>
        <v>46374</v>
      </c>
      <c r="BH6" s="19" t="n">
        <f aca="false">BG6+1</f>
        <v>46375</v>
      </c>
      <c r="BI6" s="19" t="n">
        <f aca="false">BH6+1</f>
        <v>46376</v>
      </c>
      <c r="BJ6" s="19" t="n">
        <f aca="false">BI6+1</f>
        <v>46377</v>
      </c>
      <c r="BK6" s="19" t="n">
        <f aca="false">BJ6+1</f>
        <v>46378</v>
      </c>
      <c r="BL6" s="19" t="n">
        <f aca="false">BK6+1</f>
        <v>46379</v>
      </c>
      <c r="BM6" s="19" t="n">
        <f aca="false">BL6+1</f>
        <v>46380</v>
      </c>
      <c r="BN6" s="19" t="n">
        <f aca="false">BM6+1</f>
        <v>46381</v>
      </c>
      <c r="BO6" s="19" t="n">
        <f aca="false">BN6+1</f>
        <v>46382</v>
      </c>
      <c r="BP6" s="19" t="n">
        <f aca="false">BO6+1</f>
        <v>46383</v>
      </c>
      <c r="BQ6" s="19" t="n">
        <f aca="false">BP6+1</f>
        <v>46384</v>
      </c>
      <c r="BR6" s="19" t="n">
        <f aca="false">BQ6+1</f>
        <v>46385</v>
      </c>
      <c r="BS6" s="19" t="n">
        <f aca="false">BR6+1</f>
        <v>46386</v>
      </c>
      <c r="BT6" s="19" t="n">
        <f aca="false">BS6+1</f>
        <v>46387</v>
      </c>
      <c r="BU6" s="19" t="n">
        <f aca="false">BT6+1</f>
        <v>46388</v>
      </c>
      <c r="BV6" s="19" t="n">
        <f aca="false">BU6+1</f>
        <v>46389</v>
      </c>
      <c r="BW6" s="19" t="n">
        <f aca="false">BV6+1</f>
        <v>46390</v>
      </c>
      <c r="BX6" s="19" t="n">
        <f aca="false">BW6+1</f>
        <v>46391</v>
      </c>
      <c r="BY6" s="19" t="n">
        <f aca="false">BX6+1</f>
        <v>46392</v>
      </c>
      <c r="BZ6" s="19" t="n">
        <f aca="false">BY6+1</f>
        <v>46393</v>
      </c>
      <c r="CA6" s="19" t="n">
        <f aca="false">BZ6+1</f>
        <v>46394</v>
      </c>
      <c r="CB6" s="19" t="n">
        <f aca="false">CA6+1</f>
        <v>46395</v>
      </c>
      <c r="CC6" s="19" t="n">
        <f aca="false">CB6+1</f>
        <v>46396</v>
      </c>
      <c r="CD6" s="19" t="n">
        <f aca="false">CC6+1</f>
        <v>46397</v>
      </c>
      <c r="CE6" s="19" t="n">
        <f aca="false">CD6+1</f>
        <v>46398</v>
      </c>
      <c r="CF6" s="19" t="n">
        <f aca="false">CE6+1</f>
        <v>46399</v>
      </c>
      <c r="CG6" s="19" t="n">
        <f aca="false">CF6+1</f>
        <v>46400</v>
      </c>
      <c r="CH6" s="19" t="n">
        <f aca="false">CG6+1</f>
        <v>46401</v>
      </c>
      <c r="CI6" s="19" t="n">
        <f aca="false">CH6+1</f>
        <v>46402</v>
      </c>
      <c r="CJ6" s="19" t="n">
        <f aca="false">CI6+1</f>
        <v>46403</v>
      </c>
      <c r="CK6" s="19" t="n">
        <f aca="false">CJ6+1</f>
        <v>46404</v>
      </c>
      <c r="CL6" s="19" t="n">
        <f aca="false">CK6+1</f>
        <v>46405</v>
      </c>
      <c r="CM6" s="19" t="n">
        <f aca="false">CL6+1</f>
        <v>46406</v>
      </c>
      <c r="CN6" s="19" t="n">
        <f aca="false">CM6+1</f>
        <v>46407</v>
      </c>
      <c r="CO6" s="19" t="n">
        <f aca="false">CN6+1</f>
        <v>46408</v>
      </c>
      <c r="CP6" s="19" t="n">
        <f aca="false">CO6+1</f>
        <v>46409</v>
      </c>
      <c r="CQ6" s="19" t="n">
        <f aca="false">CP6+1</f>
        <v>46410</v>
      </c>
      <c r="CR6" s="19" t="n">
        <f aca="false">CQ6+1</f>
        <v>46411</v>
      </c>
      <c r="CS6" s="19" t="n">
        <f aca="false">CR6+1</f>
        <v>46412</v>
      </c>
      <c r="CT6" s="19" t="n">
        <f aca="false">CS6+1</f>
        <v>46413</v>
      </c>
      <c r="CU6" s="19" t="n">
        <f aca="false">CT6+1</f>
        <v>46414</v>
      </c>
      <c r="CV6" s="19" t="n">
        <f aca="false">CU6+1</f>
        <v>46415</v>
      </c>
      <c r="CW6" s="19" t="n">
        <f aca="false">CV6+1</f>
        <v>46416</v>
      </c>
      <c r="CX6" s="19" t="n">
        <f aca="false">CW6+1</f>
        <v>46417</v>
      </c>
      <c r="CY6" s="19" t="n">
        <f aca="false">CX6+1</f>
        <v>46418</v>
      </c>
      <c r="CZ6" s="19" t="n">
        <f aca="false">CY6+1</f>
        <v>46419</v>
      </c>
      <c r="DA6" s="19" t="n">
        <f aca="false">CZ6+1</f>
        <v>46420</v>
      </c>
      <c r="DB6" s="19" t="n">
        <f aca="false">DA6+1</f>
        <v>46421</v>
      </c>
      <c r="DC6" s="19" t="n">
        <f aca="false">DB6+1</f>
        <v>46422</v>
      </c>
      <c r="DD6" s="19" t="n">
        <f aca="false">DC6+1</f>
        <v>46423</v>
      </c>
      <c r="DE6" s="19" t="n">
        <f aca="false">DD6+1</f>
        <v>46424</v>
      </c>
      <c r="DF6" s="19" t="n">
        <f aca="false">DE6+1</f>
        <v>46425</v>
      </c>
      <c r="DG6" s="19" t="n">
        <f aca="false">DF6+1</f>
        <v>46426</v>
      </c>
      <c r="DH6" s="19" t="n">
        <f aca="false">DG6+1</f>
        <v>46427</v>
      </c>
      <c r="DI6" s="19" t="n">
        <f aca="false">DH6+1</f>
        <v>46428</v>
      </c>
      <c r="DJ6" s="19" t="n">
        <f aca="false">DI6+1</f>
        <v>46429</v>
      </c>
      <c r="DK6" s="19" t="n">
        <f aca="false">DJ6+1</f>
        <v>46430</v>
      </c>
      <c r="DL6" s="19" t="n">
        <f aca="false">DK6+1</f>
        <v>46431</v>
      </c>
      <c r="DM6" s="19" t="n">
        <f aca="false">DL6+1</f>
        <v>46432</v>
      </c>
      <c r="DN6" s="19" t="n">
        <f aca="false">DM6+1</f>
        <v>46433</v>
      </c>
      <c r="DO6" s="19" t="n">
        <f aca="false">DN6+1</f>
        <v>46434</v>
      </c>
      <c r="DP6" s="19" t="n">
        <f aca="false">DO6+1</f>
        <v>46435</v>
      </c>
      <c r="DQ6" s="19" t="n">
        <f aca="false">DP6+1</f>
        <v>46436</v>
      </c>
      <c r="DR6" s="19" t="n">
        <f aca="false">DQ6+1</f>
        <v>46437</v>
      </c>
      <c r="DS6" s="19" t="n">
        <f aca="false">DR6+1</f>
        <v>46438</v>
      </c>
      <c r="DT6" s="19" t="n">
        <f aca="false">DS6+1</f>
        <v>46439</v>
      </c>
      <c r="DU6" s="19" t="n">
        <f aca="false">DT6+1</f>
        <v>46440</v>
      </c>
      <c r="DV6" s="19" t="n">
        <f aca="false">DU6+1</f>
        <v>46441</v>
      </c>
      <c r="DW6" s="19" t="n">
        <f aca="false">DV6+1</f>
        <v>46442</v>
      </c>
      <c r="DX6" s="19" t="n">
        <f aca="false">DW6+1</f>
        <v>46443</v>
      </c>
      <c r="DY6" s="19" t="n">
        <f aca="false">DX6+1</f>
        <v>46444</v>
      </c>
      <c r="DZ6" s="19" t="n">
        <f aca="false">DY6+1</f>
        <v>46445</v>
      </c>
      <c r="EA6" s="19" t="n">
        <f aca="false">DZ6+1</f>
        <v>46446</v>
      </c>
      <c r="EB6" s="19" t="n">
        <f aca="false">EA6+1</f>
        <v>46447</v>
      </c>
    </row>
    <row r="7" customFormat="false" ht="15.75" hidden="false" customHeight="true" outlineLevel="0" collapsed="false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20" t="str">
        <f aca="false">MID("日月火水木金土",WEEKDAY(M6),1)</f>
        <v>月</v>
      </c>
      <c r="N7" s="20" t="str">
        <f aca="false">MID("日月火水木金土",WEEKDAY(N6),1)</f>
        <v>火</v>
      </c>
      <c r="O7" s="20" t="str">
        <f aca="false">MID("日月火水木金土",WEEKDAY(O6),1)</f>
        <v>水</v>
      </c>
      <c r="P7" s="20" t="str">
        <f aca="false">MID("日月火水木金土",WEEKDAY(P6),1)</f>
        <v>木</v>
      </c>
      <c r="Q7" s="20" t="str">
        <f aca="false">MID("日月火水木金土",WEEKDAY(Q6),1)</f>
        <v>金</v>
      </c>
      <c r="R7" s="20" t="str">
        <f aca="false">MID("日月火水木金土",WEEKDAY(R6),1)</f>
        <v>土</v>
      </c>
      <c r="S7" s="20" t="str">
        <f aca="false">MID("日月火水木金土",WEEKDAY(S6),1)</f>
        <v>日</v>
      </c>
      <c r="T7" s="20" t="str">
        <f aca="false">MID("日月火水木金土",WEEKDAY(T6),1)</f>
        <v>月</v>
      </c>
      <c r="U7" s="20" t="str">
        <f aca="false">MID("日月火水木金土",WEEKDAY(U6),1)</f>
        <v>火</v>
      </c>
      <c r="V7" s="20" t="str">
        <f aca="false">MID("日月火水木金土",WEEKDAY(V6),1)</f>
        <v>水</v>
      </c>
      <c r="W7" s="20" t="str">
        <f aca="false">MID("日月火水木金土",WEEKDAY(W6),1)</f>
        <v>木</v>
      </c>
      <c r="X7" s="20" t="str">
        <f aca="false">MID("日月火水木金土",WEEKDAY(X6),1)</f>
        <v>金</v>
      </c>
      <c r="Y7" s="20" t="str">
        <f aca="false">MID("日月火水木金土",WEEKDAY(Y6),1)</f>
        <v>土</v>
      </c>
      <c r="Z7" s="20" t="str">
        <f aca="false">MID("日月火水木金土",WEEKDAY(Z6),1)</f>
        <v>日</v>
      </c>
      <c r="AA7" s="20" t="str">
        <f aca="false">MID("日月火水木金土",WEEKDAY(AA6),1)</f>
        <v>月</v>
      </c>
      <c r="AB7" s="20" t="str">
        <f aca="false">MID("日月火水木金土",WEEKDAY(AB6),1)</f>
        <v>火</v>
      </c>
      <c r="AC7" s="20" t="str">
        <f aca="false">MID("日月火水木金土",WEEKDAY(AC6),1)</f>
        <v>水</v>
      </c>
      <c r="AD7" s="20" t="str">
        <f aca="false">MID("日月火水木金土",WEEKDAY(AD6),1)</f>
        <v>木</v>
      </c>
      <c r="AE7" s="20" t="str">
        <f aca="false">MID("日月火水木金土",WEEKDAY(AE6),1)</f>
        <v>金</v>
      </c>
      <c r="AF7" s="20" t="str">
        <f aca="false">MID("日月火水木金土",WEEKDAY(AF6),1)</f>
        <v>土</v>
      </c>
      <c r="AG7" s="20" t="str">
        <f aca="false">MID("日月火水木金土",WEEKDAY(AG6),1)</f>
        <v>日</v>
      </c>
      <c r="AH7" s="20" t="str">
        <f aca="false">MID("日月火水木金土",WEEKDAY(AH6),1)</f>
        <v>月</v>
      </c>
      <c r="AI7" s="20" t="str">
        <f aca="false">MID("日月火水木金土",WEEKDAY(AI6),1)</f>
        <v>火</v>
      </c>
      <c r="AJ7" s="20" t="str">
        <f aca="false">MID("日月火水木金土",WEEKDAY(AJ6),1)</f>
        <v>水</v>
      </c>
      <c r="AK7" s="20" t="str">
        <f aca="false">MID("日月火水木金土",WEEKDAY(AK6),1)</f>
        <v>木</v>
      </c>
      <c r="AL7" s="20" t="str">
        <f aca="false">MID("日月火水木金土",WEEKDAY(AL6),1)</f>
        <v>金</v>
      </c>
      <c r="AM7" s="20" t="str">
        <f aca="false">MID("日月火水木金土",WEEKDAY(AM6),1)</f>
        <v>土</v>
      </c>
      <c r="AN7" s="20" t="str">
        <f aca="false">MID("日月火水木金土",WEEKDAY(AN6),1)</f>
        <v>日</v>
      </c>
      <c r="AO7" s="20" t="str">
        <f aca="false">MID("日月火水木金土",WEEKDAY(AO6),1)</f>
        <v>月</v>
      </c>
      <c r="AP7" s="20" t="str">
        <f aca="false">MID("日月火水木金土",WEEKDAY(AP6),1)</f>
        <v>火</v>
      </c>
      <c r="AQ7" s="20" t="str">
        <f aca="false">MID("日月火水木金土",WEEKDAY(AQ6),1)</f>
        <v>水</v>
      </c>
      <c r="AR7" s="20" t="str">
        <f aca="false">MID("日月火水木金土",WEEKDAY(AR6),1)</f>
        <v>木</v>
      </c>
      <c r="AS7" s="20" t="str">
        <f aca="false">MID("日月火水木金土",WEEKDAY(AS6),1)</f>
        <v>金</v>
      </c>
      <c r="AT7" s="20" t="str">
        <f aca="false">MID("日月火水木金土",WEEKDAY(AT6),1)</f>
        <v>土</v>
      </c>
      <c r="AU7" s="20" t="str">
        <f aca="false">MID("日月火水木金土",WEEKDAY(AU6),1)</f>
        <v>日</v>
      </c>
      <c r="AV7" s="20" t="str">
        <f aca="false">MID("日月火水木金土",WEEKDAY(AV6),1)</f>
        <v>月</v>
      </c>
      <c r="AW7" s="20" t="str">
        <f aca="false">MID("日月火水木金土",WEEKDAY(AW6),1)</f>
        <v>火</v>
      </c>
      <c r="AX7" s="20" t="str">
        <f aca="false">MID("日月火水木金土",WEEKDAY(AX6),1)</f>
        <v>水</v>
      </c>
      <c r="AY7" s="20" t="str">
        <f aca="false">MID("日月火水木金土",WEEKDAY(AY6),1)</f>
        <v>木</v>
      </c>
      <c r="AZ7" s="20" t="str">
        <f aca="false">MID("日月火水木金土",WEEKDAY(AZ6),1)</f>
        <v>金</v>
      </c>
      <c r="BA7" s="20" t="str">
        <f aca="false">MID("日月火水木金土",WEEKDAY(BA6),1)</f>
        <v>土</v>
      </c>
      <c r="BB7" s="20" t="str">
        <f aca="false">MID("日月火水木金土",WEEKDAY(BB6),1)</f>
        <v>日</v>
      </c>
      <c r="BC7" s="20" t="str">
        <f aca="false">MID("日月火水木金土",WEEKDAY(BC6),1)</f>
        <v>月</v>
      </c>
      <c r="BD7" s="20" t="str">
        <f aca="false">MID("日月火水木金土",WEEKDAY(BD6),1)</f>
        <v>火</v>
      </c>
      <c r="BE7" s="20" t="str">
        <f aca="false">MID("日月火水木金土",WEEKDAY(BE6),1)</f>
        <v>水</v>
      </c>
      <c r="BF7" s="20" t="str">
        <f aca="false">MID("日月火水木金土",WEEKDAY(BF6),1)</f>
        <v>木</v>
      </c>
      <c r="BG7" s="20" t="str">
        <f aca="false">MID("日月火水木金土",WEEKDAY(BG6),1)</f>
        <v>金</v>
      </c>
      <c r="BH7" s="20" t="str">
        <f aca="false">MID("日月火水木金土",WEEKDAY(BH6),1)</f>
        <v>土</v>
      </c>
      <c r="BI7" s="20" t="str">
        <f aca="false">MID("日月火水木金土",WEEKDAY(BI6),1)</f>
        <v>日</v>
      </c>
      <c r="BJ7" s="20" t="str">
        <f aca="false">MID("日月火水木金土",WEEKDAY(BJ6),1)</f>
        <v>月</v>
      </c>
      <c r="BK7" s="20" t="str">
        <f aca="false">MID("日月火水木金土",WEEKDAY(BK6),1)</f>
        <v>火</v>
      </c>
      <c r="BL7" s="20" t="str">
        <f aca="false">MID("日月火水木金土",WEEKDAY(BL6),1)</f>
        <v>水</v>
      </c>
      <c r="BM7" s="20" t="str">
        <f aca="false">MID("日月火水木金土",WEEKDAY(BM6),1)</f>
        <v>木</v>
      </c>
      <c r="BN7" s="20" t="str">
        <f aca="false">MID("日月火水木金土",WEEKDAY(BN6),1)</f>
        <v>金</v>
      </c>
      <c r="BO7" s="20" t="str">
        <f aca="false">MID("日月火水木金土",WEEKDAY(BO6),1)</f>
        <v>土</v>
      </c>
      <c r="BP7" s="20" t="str">
        <f aca="false">MID("日月火水木金土",WEEKDAY(BP6),1)</f>
        <v>日</v>
      </c>
      <c r="BQ7" s="20" t="str">
        <f aca="false">MID("日月火水木金土",WEEKDAY(BQ6),1)</f>
        <v>月</v>
      </c>
      <c r="BR7" s="20" t="str">
        <f aca="false">MID("日月火水木金土",WEEKDAY(BR6),1)</f>
        <v>火</v>
      </c>
      <c r="BS7" s="20" t="str">
        <f aca="false">MID("日月火水木金土",WEEKDAY(BS6),1)</f>
        <v>水</v>
      </c>
      <c r="BT7" s="20" t="str">
        <f aca="false">MID("日月火水木金土",WEEKDAY(BT6),1)</f>
        <v>木</v>
      </c>
      <c r="BU7" s="20" t="str">
        <f aca="false">MID("日月火水木金土",WEEKDAY(BU6),1)</f>
        <v>金</v>
      </c>
      <c r="BV7" s="20" t="str">
        <f aca="false">MID("日月火水木金土",WEEKDAY(BV6),1)</f>
        <v>土</v>
      </c>
      <c r="BW7" s="20" t="str">
        <f aca="false">MID("日月火水木金土",WEEKDAY(BW6),1)</f>
        <v>日</v>
      </c>
      <c r="BX7" s="20" t="str">
        <f aca="false">MID("日月火水木金土",WEEKDAY(BX6),1)</f>
        <v>月</v>
      </c>
      <c r="BY7" s="20" t="str">
        <f aca="false">MID("日月火水木金土",WEEKDAY(BY6),1)</f>
        <v>火</v>
      </c>
      <c r="BZ7" s="20" t="str">
        <f aca="false">MID("日月火水木金土",WEEKDAY(BZ6),1)</f>
        <v>水</v>
      </c>
      <c r="CA7" s="20" t="str">
        <f aca="false">MID("日月火水木金土",WEEKDAY(CA6),1)</f>
        <v>木</v>
      </c>
      <c r="CB7" s="20" t="str">
        <f aca="false">MID("日月火水木金土",WEEKDAY(CB6),1)</f>
        <v>金</v>
      </c>
      <c r="CC7" s="20" t="str">
        <f aca="false">MID("日月火水木金土",WEEKDAY(CC6),1)</f>
        <v>土</v>
      </c>
      <c r="CD7" s="20" t="str">
        <f aca="false">MID("日月火水木金土",WEEKDAY(CD6),1)</f>
        <v>日</v>
      </c>
      <c r="CE7" s="20" t="str">
        <f aca="false">MID("日月火水木金土",WEEKDAY(CE6),1)</f>
        <v>月</v>
      </c>
      <c r="CF7" s="20" t="str">
        <f aca="false">MID("日月火水木金土",WEEKDAY(CF6),1)</f>
        <v>火</v>
      </c>
      <c r="CG7" s="20" t="str">
        <f aca="false">MID("日月火水木金土",WEEKDAY(CG6),1)</f>
        <v>水</v>
      </c>
      <c r="CH7" s="20" t="str">
        <f aca="false">MID("日月火水木金土",WEEKDAY(CH6),1)</f>
        <v>木</v>
      </c>
      <c r="CI7" s="20" t="str">
        <f aca="false">MID("日月火水木金土",WEEKDAY(CI6),1)</f>
        <v>金</v>
      </c>
      <c r="CJ7" s="20" t="str">
        <f aca="false">MID("日月火水木金土",WEEKDAY(CJ6),1)</f>
        <v>土</v>
      </c>
      <c r="CK7" s="20" t="str">
        <f aca="false">MID("日月火水木金土",WEEKDAY(CK6),1)</f>
        <v>日</v>
      </c>
      <c r="CL7" s="20" t="str">
        <f aca="false">MID("日月火水木金土",WEEKDAY(CL6),1)</f>
        <v>月</v>
      </c>
      <c r="CM7" s="20" t="str">
        <f aca="false">MID("日月火水木金土",WEEKDAY(CM6),1)</f>
        <v>火</v>
      </c>
      <c r="CN7" s="20" t="str">
        <f aca="false">MID("日月火水木金土",WEEKDAY(CN6),1)</f>
        <v>水</v>
      </c>
      <c r="CO7" s="20" t="str">
        <f aca="false">MID("日月火水木金土",WEEKDAY(CO6),1)</f>
        <v>木</v>
      </c>
      <c r="CP7" s="20" t="str">
        <f aca="false">MID("日月火水木金土",WEEKDAY(CP6),1)</f>
        <v>金</v>
      </c>
      <c r="CQ7" s="20" t="str">
        <f aca="false">MID("日月火水木金土",WEEKDAY(CQ6),1)</f>
        <v>土</v>
      </c>
      <c r="CR7" s="20" t="str">
        <f aca="false">MID("日月火水木金土",WEEKDAY(CR6),1)</f>
        <v>日</v>
      </c>
      <c r="CS7" s="20" t="str">
        <f aca="false">MID("日月火水木金土",WEEKDAY(CS6),1)</f>
        <v>月</v>
      </c>
      <c r="CT7" s="20" t="str">
        <f aca="false">MID("日月火水木金土",WEEKDAY(CT6),1)</f>
        <v>火</v>
      </c>
      <c r="CU7" s="20" t="str">
        <f aca="false">MID("日月火水木金土",WEEKDAY(CU6),1)</f>
        <v>水</v>
      </c>
      <c r="CV7" s="20" t="str">
        <f aca="false">MID("日月火水木金土",WEEKDAY(CV6),1)</f>
        <v>木</v>
      </c>
      <c r="CW7" s="20" t="str">
        <f aca="false">MID("日月火水木金土",WEEKDAY(CW6),1)</f>
        <v>金</v>
      </c>
      <c r="CX7" s="20" t="str">
        <f aca="false">MID("日月火水木金土",WEEKDAY(CX6),1)</f>
        <v>土</v>
      </c>
      <c r="CY7" s="20" t="str">
        <f aca="false">MID("日月火水木金土",WEEKDAY(CY6),1)</f>
        <v>日</v>
      </c>
      <c r="CZ7" s="20" t="str">
        <f aca="false">MID("日月火水木金土",WEEKDAY(CZ6),1)</f>
        <v>月</v>
      </c>
      <c r="DA7" s="20" t="str">
        <f aca="false">MID("日月火水木金土",WEEKDAY(DA6),1)</f>
        <v>火</v>
      </c>
      <c r="DB7" s="20" t="str">
        <f aca="false">MID("日月火水木金土",WEEKDAY(DB6),1)</f>
        <v>水</v>
      </c>
      <c r="DC7" s="20" t="str">
        <f aca="false">MID("日月火水木金土",WEEKDAY(DC6),1)</f>
        <v>木</v>
      </c>
      <c r="DD7" s="20" t="str">
        <f aca="false">MID("日月火水木金土",WEEKDAY(DD6),1)</f>
        <v>金</v>
      </c>
      <c r="DE7" s="20" t="str">
        <f aca="false">MID("日月火水木金土",WEEKDAY(DE6),1)</f>
        <v>土</v>
      </c>
      <c r="DF7" s="20" t="str">
        <f aca="false">MID("日月火水木金土",WEEKDAY(DF6),1)</f>
        <v>日</v>
      </c>
      <c r="DG7" s="20" t="str">
        <f aca="false">MID("日月火水木金土",WEEKDAY(DG6),1)</f>
        <v>月</v>
      </c>
      <c r="DH7" s="20" t="str">
        <f aca="false">MID("日月火水木金土",WEEKDAY(DH6),1)</f>
        <v>火</v>
      </c>
      <c r="DI7" s="20" t="str">
        <f aca="false">MID("日月火水木金土",WEEKDAY(DI6),1)</f>
        <v>水</v>
      </c>
      <c r="DJ7" s="20" t="str">
        <f aca="false">MID("日月火水木金土",WEEKDAY(DJ6),1)</f>
        <v>木</v>
      </c>
      <c r="DK7" s="20" t="str">
        <f aca="false">MID("日月火水木金土",WEEKDAY(DK6),1)</f>
        <v>金</v>
      </c>
      <c r="DL7" s="20" t="str">
        <f aca="false">MID("日月火水木金土",WEEKDAY(DL6),1)</f>
        <v>土</v>
      </c>
      <c r="DM7" s="20" t="str">
        <f aca="false">MID("日月火水木金土",WEEKDAY(DM6),1)</f>
        <v>日</v>
      </c>
      <c r="DN7" s="20" t="str">
        <f aca="false">MID("日月火水木金土",WEEKDAY(DN6),1)</f>
        <v>月</v>
      </c>
      <c r="DO7" s="20" t="str">
        <f aca="false">MID("日月火水木金土",WEEKDAY(DO6),1)</f>
        <v>火</v>
      </c>
      <c r="DP7" s="20" t="str">
        <f aca="false">MID("日月火水木金土",WEEKDAY(DP6),1)</f>
        <v>水</v>
      </c>
      <c r="DQ7" s="20" t="str">
        <f aca="false">MID("日月火水木金土",WEEKDAY(DQ6),1)</f>
        <v>木</v>
      </c>
      <c r="DR7" s="20" t="str">
        <f aca="false">MID("日月火水木金土",WEEKDAY(DR6),1)</f>
        <v>金</v>
      </c>
      <c r="DS7" s="20" t="str">
        <f aca="false">MID("日月火水木金土",WEEKDAY(DS6),1)</f>
        <v>土</v>
      </c>
      <c r="DT7" s="20" t="str">
        <f aca="false">MID("日月火水木金土",WEEKDAY(DT6),1)</f>
        <v>日</v>
      </c>
      <c r="DU7" s="20" t="str">
        <f aca="false">MID("日月火水木金土",WEEKDAY(DU6),1)</f>
        <v>月</v>
      </c>
      <c r="DV7" s="20" t="str">
        <f aca="false">MID("日月火水木金土",WEEKDAY(DV6),1)</f>
        <v>火</v>
      </c>
      <c r="DW7" s="20" t="str">
        <f aca="false">MID("日月火水木金土",WEEKDAY(DW6),1)</f>
        <v>水</v>
      </c>
      <c r="DX7" s="20" t="str">
        <f aca="false">MID("日月火水木金土",WEEKDAY(DX6),1)</f>
        <v>木</v>
      </c>
      <c r="DY7" s="20" t="str">
        <f aca="false">MID("日月火水木金土",WEEKDAY(DY6),1)</f>
        <v>金</v>
      </c>
      <c r="DZ7" s="20" t="str">
        <f aca="false">MID("日月火水木金土",WEEKDAY(DZ6),1)</f>
        <v>土</v>
      </c>
      <c r="EA7" s="20" t="str">
        <f aca="false">MID("日月火水木金土",WEEKDAY(EA6),1)</f>
        <v>日</v>
      </c>
      <c r="EB7" s="20" t="str">
        <f aca="false">MID("日月火水木金土",WEEKDAY(EB6),1)</f>
        <v>月</v>
      </c>
    </row>
    <row r="8" customFormat="false" ht="18" hidden="false" customHeight="true" outlineLevel="0" collapsed="false">
      <c r="A8" s="21" t="n">
        <v>1</v>
      </c>
      <c r="B8" s="22" t="s">
        <v>28</v>
      </c>
      <c r="C8" s="22" t="s">
        <v>29</v>
      </c>
      <c r="D8" s="22" t="s">
        <v>30</v>
      </c>
      <c r="E8" s="21"/>
      <c r="F8" s="21"/>
      <c r="G8" s="21" t="n">
        <v>0</v>
      </c>
      <c r="H8" s="23"/>
      <c r="I8" s="24" t="n">
        <f aca="false">IF(OR(C8="",K8=""),"",MAX(IF(E8="",0,IFERROR(INDEX($J$8:$J$47,MATCH(E8,$A$8:$A$47,0))+1+G8,0)),IF(F8="",0,IFERROR(INDEX($J$8:$J$47,MATCH(F8,$A$8:$A$47,0))+1+G8,0)),IF(H8="",0,H8),IF(AND(E8="",F8="",H8=""),$H$2,0)))</f>
        <v>46328</v>
      </c>
      <c r="J8" s="24" t="n">
        <f aca="false">IF(I8="","",I8+MAX(K8,1)-1)</f>
        <v>46332</v>
      </c>
      <c r="K8" s="21" t="n">
        <v>5</v>
      </c>
      <c r="L8" s="25" t="n">
        <v>1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</row>
    <row r="9" customFormat="false" ht="18" hidden="false" customHeight="true" outlineLevel="0" collapsed="false">
      <c r="A9" s="21" t="n">
        <v>2</v>
      </c>
      <c r="B9" s="22" t="s">
        <v>31</v>
      </c>
      <c r="C9" s="22" t="s">
        <v>32</v>
      </c>
      <c r="D9" s="22" t="s">
        <v>33</v>
      </c>
      <c r="E9" s="21"/>
      <c r="F9" s="21"/>
      <c r="G9" s="21" t="n">
        <v>0</v>
      </c>
      <c r="H9" s="23"/>
      <c r="I9" s="24" t="n">
        <f aca="false">IF(OR(C9="",K9=""),"",MAX(IF(E9="",0,IFERROR(INDEX($J$8:$J$47,MATCH(E9,$A$8:$A$47,0))+1+G9,0)),IF(F9="",0,IFERROR(INDEX($J$8:$J$47,MATCH(F9,$A$8:$A$47,0))+1+G9,0)),IF(H9="",0,H9),IF(AND(E9="",F9="",H9=""),$H$2,0)))</f>
        <v>46328</v>
      </c>
      <c r="J9" s="24" t="n">
        <f aca="false">IF(I9="","",I9+MAX(K9,1)-1)</f>
        <v>46331</v>
      </c>
      <c r="K9" s="21" t="n">
        <v>4</v>
      </c>
      <c r="L9" s="25" t="n">
        <v>0.5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</row>
    <row r="10" customFormat="false" ht="18" hidden="false" customHeight="true" outlineLevel="0" collapsed="false">
      <c r="A10" s="21" t="n">
        <v>3</v>
      </c>
      <c r="B10" s="22" t="s">
        <v>34</v>
      </c>
      <c r="C10" s="22" t="s">
        <v>35</v>
      </c>
      <c r="D10" s="22" t="s">
        <v>36</v>
      </c>
      <c r="E10" s="21" t="n">
        <v>1</v>
      </c>
      <c r="F10" s="21"/>
      <c r="G10" s="21" t="n">
        <v>0</v>
      </c>
      <c r="H10" s="23"/>
      <c r="I10" s="24" t="n">
        <f aca="false">IF(OR(C10="",K10=""),"",MAX(IF(E10="",0,IFERROR(INDEX($J$8:$J$47,MATCH(E10,$A$8:$A$47,0))+1+G10,0)),IF(F10="",0,IFERROR(INDEX($J$8:$J$47,MATCH(F10,$A$8:$A$47,0))+1+G10,0)),IF(H10="",0,H10),IF(AND(E10="",F10="",H10=""),$H$2,0)))</f>
        <v>46333</v>
      </c>
      <c r="J10" s="24" t="n">
        <f aca="false">IF(I10="","",I10+MAX(K10,1)-1)</f>
        <v>46342</v>
      </c>
      <c r="K10" s="21" t="n">
        <v>10</v>
      </c>
      <c r="L10" s="25" t="n">
        <v>0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</row>
    <row r="11" customFormat="false" ht="18" hidden="false" customHeight="true" outlineLevel="0" collapsed="false">
      <c r="A11" s="21" t="n">
        <v>4</v>
      </c>
      <c r="B11" s="22" t="s">
        <v>37</v>
      </c>
      <c r="C11" s="27" t="s">
        <v>38</v>
      </c>
      <c r="D11" s="22" t="s">
        <v>39</v>
      </c>
      <c r="E11" s="21"/>
      <c r="F11" s="21"/>
      <c r="G11" s="21" t="n">
        <v>0</v>
      </c>
      <c r="H11" s="23"/>
      <c r="I11" s="24" t="n">
        <f aca="false">IF(OR(C11="",K11=""),"",MAX(IF(E11="",0,IFERROR(INDEX($J$8:$J$47,MATCH(E11,$A$8:$A$47,0))+1+G11,0)),IF(F11="",0,IFERROR(INDEX($J$8:$J$47,MATCH(F11,$A$8:$A$47,0))+1+G11,0)),IF(H11="",0,H11),IF(AND(E11="",F11="",H11=""),$H$2,0)))</f>
        <v>46328</v>
      </c>
      <c r="J11" s="24" t="n">
        <f aca="false">IF(I11="","",I11+MAX(K11,1)-1)</f>
        <v>46333</v>
      </c>
      <c r="K11" s="21" t="n">
        <v>6</v>
      </c>
      <c r="L11" s="25" t="n">
        <v>0.8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</row>
    <row r="12" customFormat="false" ht="18" hidden="false" customHeight="true" outlineLevel="0" collapsed="false">
      <c r="A12" s="21" t="n">
        <v>5</v>
      </c>
      <c r="B12" s="22" t="s">
        <v>40</v>
      </c>
      <c r="C12" s="22" t="s">
        <v>41</v>
      </c>
      <c r="D12" s="22" t="s">
        <v>42</v>
      </c>
      <c r="E12" s="21" t="n">
        <v>4</v>
      </c>
      <c r="F12" s="21"/>
      <c r="G12" s="21" t="n">
        <v>0</v>
      </c>
      <c r="H12" s="23"/>
      <c r="I12" s="24" t="n">
        <f aca="false">IF(OR(C12="",K12=""),"",MAX(IF(E12="",0,IFERROR(INDEX($J$8:$J$47,MATCH(E12,$A$8:$A$47,0))+1+G12,0)),IF(F12="",0,IFERROR(INDEX($J$8:$J$47,MATCH(F12,$A$8:$A$47,0))+1+G12,0)),IF(H12="",0,H12),IF(AND(E12="",F12="",H12=""),$H$2,0)))</f>
        <v>46334</v>
      </c>
      <c r="J12" s="24" t="n">
        <f aca="false">IF(I12="","",I12+MAX(K12,1)-1)</f>
        <v>46338</v>
      </c>
      <c r="K12" s="21" t="n">
        <v>5</v>
      </c>
      <c r="L12" s="25" t="n">
        <v>0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</row>
    <row r="13" customFormat="false" ht="18" hidden="false" customHeight="true" outlineLevel="0" collapsed="false">
      <c r="A13" s="21" t="n">
        <v>6</v>
      </c>
      <c r="B13" s="22" t="s">
        <v>37</v>
      </c>
      <c r="C13" s="22" t="s">
        <v>43</v>
      </c>
      <c r="D13" s="22" t="s">
        <v>39</v>
      </c>
      <c r="E13" s="21" t="n">
        <v>5</v>
      </c>
      <c r="F13" s="21"/>
      <c r="G13" s="21" t="n">
        <v>0</v>
      </c>
      <c r="H13" s="23"/>
      <c r="I13" s="24" t="n">
        <f aca="false">IF(OR(C13="",K13=""),"",MAX(IF(E13="",0,IFERROR(INDEX($J$8:$J$47,MATCH(E13,$A$8:$A$47,0))+1+G13,0)),IF(F13="",0,IFERROR(INDEX($J$8:$J$47,MATCH(F13,$A$8:$A$47,0))+1+G13,0)),IF(H13="",0,H13),IF(AND(E13="",F13="",H13=""),$H$2,0)))</f>
        <v>46339</v>
      </c>
      <c r="J13" s="24" t="n">
        <f aca="false">IF(I13="","",I13+MAX(K13,1)-1)</f>
        <v>46346</v>
      </c>
      <c r="K13" s="21" t="n">
        <v>8</v>
      </c>
      <c r="L13" s="25" t="n">
        <v>0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</row>
    <row r="14" customFormat="false" ht="18" hidden="false" customHeight="true" outlineLevel="0" collapsed="false">
      <c r="A14" s="21" t="n">
        <v>7</v>
      </c>
      <c r="B14" s="22" t="s">
        <v>37</v>
      </c>
      <c r="C14" s="22" t="s">
        <v>44</v>
      </c>
      <c r="D14" s="22" t="s">
        <v>39</v>
      </c>
      <c r="E14" s="21" t="n">
        <v>6</v>
      </c>
      <c r="F14" s="21"/>
      <c r="G14" s="21" t="n">
        <v>0</v>
      </c>
      <c r="H14" s="23"/>
      <c r="I14" s="24" t="n">
        <f aca="false">IF(OR(C14="",K14=""),"",MAX(IF(E14="",0,IFERROR(INDEX($J$8:$J$47,MATCH(E14,$A$8:$A$47,0))+1+G14,0)),IF(F14="",0,IFERROR(INDEX($J$8:$J$47,MATCH(F14,$A$8:$A$47,0))+1+G14,0)),IF(H14="",0,H14),IF(AND(E14="",F14="",H14=""),$H$2,0)))</f>
        <v>46347</v>
      </c>
      <c r="J14" s="24" t="n">
        <f aca="false">IF(I14="","",I14+MAX(K14,1)-1)</f>
        <v>46356</v>
      </c>
      <c r="K14" s="21" t="n">
        <v>10</v>
      </c>
      <c r="L14" s="25" t="n">
        <v>0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</row>
    <row r="15" customFormat="false" ht="18" hidden="false" customHeight="true" outlineLevel="0" collapsed="false">
      <c r="A15" s="21" t="n">
        <v>8</v>
      </c>
      <c r="B15" s="22" t="s">
        <v>40</v>
      </c>
      <c r="C15" s="22" t="s">
        <v>45</v>
      </c>
      <c r="D15" s="22" t="s">
        <v>42</v>
      </c>
      <c r="E15" s="21" t="n">
        <v>7</v>
      </c>
      <c r="F15" s="21"/>
      <c r="G15" s="21" t="n">
        <v>0</v>
      </c>
      <c r="H15" s="23"/>
      <c r="I15" s="24" t="n">
        <f aca="false">IF(OR(C15="",K15=""),"",MAX(IF(E15="",0,IFERROR(INDEX($J$8:$J$47,MATCH(E15,$A$8:$A$47,0))+1+G15,0)),IF(F15="",0,IFERROR(INDEX($J$8:$J$47,MATCH(F15,$A$8:$A$47,0))+1+G15,0)),IF(H15="",0,H15),IF(AND(E15="",F15="",H15=""),$H$2,0)))</f>
        <v>46357</v>
      </c>
      <c r="J15" s="24" t="n">
        <f aca="false">IF(I15="","",I15+MAX(K15,1)-1)</f>
        <v>46360</v>
      </c>
      <c r="K15" s="21" t="n">
        <v>4</v>
      </c>
      <c r="L15" s="25" t="n">
        <v>0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</row>
    <row r="16" customFormat="false" ht="18" hidden="false" customHeight="true" outlineLevel="0" collapsed="false">
      <c r="A16" s="21" t="n">
        <v>9</v>
      </c>
      <c r="B16" s="22" t="s">
        <v>46</v>
      </c>
      <c r="C16" s="22" t="s">
        <v>47</v>
      </c>
      <c r="D16" s="22" t="s">
        <v>48</v>
      </c>
      <c r="E16" s="21" t="n">
        <v>3</v>
      </c>
      <c r="F16" s="21" t="n">
        <v>8</v>
      </c>
      <c r="G16" s="21" t="n">
        <v>0</v>
      </c>
      <c r="H16" s="23"/>
      <c r="I16" s="24" t="n">
        <f aca="false">IF(OR(C16="",K16=""),"",MAX(IF(E16="",0,IFERROR(INDEX($J$8:$J$47,MATCH(E16,$A$8:$A$47,0))+1+G16,0)),IF(F16="",0,IFERROR(INDEX($J$8:$J$47,MATCH(F16,$A$8:$A$47,0))+1+G16,0)),IF(H16="",0,H16),IF(AND(E16="",F16="",H16=""),$H$2,0)))</f>
        <v>46361</v>
      </c>
      <c r="J16" s="24" t="n">
        <f aca="false">IF(I16="","",I16+MAX(K16,1)-1)</f>
        <v>46361</v>
      </c>
      <c r="K16" s="21" t="n">
        <v>1</v>
      </c>
      <c r="L16" s="25" t="n">
        <v>0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</row>
    <row r="17" customFormat="false" ht="18" hidden="false" customHeight="true" outlineLevel="0" collapsed="false">
      <c r="A17" s="21" t="n">
        <v>10</v>
      </c>
      <c r="B17" s="22" t="s">
        <v>46</v>
      </c>
      <c r="C17" s="22" t="s">
        <v>49</v>
      </c>
      <c r="D17" s="22" t="s">
        <v>50</v>
      </c>
      <c r="E17" s="21" t="n">
        <v>9</v>
      </c>
      <c r="F17" s="21"/>
      <c r="G17" s="21" t="n">
        <v>0</v>
      </c>
      <c r="H17" s="23"/>
      <c r="I17" s="24" t="n">
        <f aca="false">IF(OR(C17="",K17=""),"",MAX(IF(E17="",0,IFERROR(INDEX($J$8:$J$47,MATCH(E17,$A$8:$A$47,0))+1+G17,0)),IF(F17="",0,IFERROR(INDEX($J$8:$J$47,MATCH(F17,$A$8:$A$47,0))+1+G17,0)),IF(H17="",0,H17),IF(AND(E17="",F17="",H17=""),$H$2,0)))</f>
        <v>46362</v>
      </c>
      <c r="J17" s="24" t="n">
        <f aca="false">IF(I17="","",I17+MAX(K17,1)-1)</f>
        <v>46365</v>
      </c>
      <c r="K17" s="21" t="n">
        <v>4</v>
      </c>
      <c r="L17" s="25" t="n">
        <v>0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</row>
    <row r="18" customFormat="false" ht="18" hidden="false" customHeight="true" outlineLevel="0" collapsed="false">
      <c r="A18" s="21" t="n">
        <v>11</v>
      </c>
      <c r="B18" s="22" t="s">
        <v>46</v>
      </c>
      <c r="C18" s="22" t="s">
        <v>51</v>
      </c>
      <c r="D18" s="22" t="s">
        <v>52</v>
      </c>
      <c r="E18" s="21" t="n">
        <v>10</v>
      </c>
      <c r="F18" s="21"/>
      <c r="G18" s="21" t="n">
        <v>0</v>
      </c>
      <c r="H18" s="23"/>
      <c r="I18" s="24" t="n">
        <f aca="false">IF(OR(C18="",K18=""),"",MAX(IF(E18="",0,IFERROR(INDEX($J$8:$J$47,MATCH(E18,$A$8:$A$47,0))+1+G18,0)),IF(F18="",0,IFERROR(INDEX($J$8:$J$47,MATCH(F18,$A$8:$A$47,0))+1+G18,0)),IF(H18="",0,H18),IF(AND(E18="",F18="",H18=""),$H$2,0)))</f>
        <v>46366</v>
      </c>
      <c r="J18" s="24" t="n">
        <f aca="false">IF(I18="","",I18+MAX(K18,1)-1)</f>
        <v>46366</v>
      </c>
      <c r="K18" s="21" t="n">
        <v>0</v>
      </c>
      <c r="L18" s="25" t="n">
        <v>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</row>
    <row r="19" customFormat="false" ht="18" hidden="false" customHeight="true" outlineLevel="0" collapsed="false">
      <c r="A19" s="21" t="n">
        <v>12</v>
      </c>
      <c r="B19" s="22" t="s">
        <v>46</v>
      </c>
      <c r="C19" s="22" t="s">
        <v>53</v>
      </c>
      <c r="D19" s="22" t="s">
        <v>54</v>
      </c>
      <c r="E19" s="21" t="n">
        <v>11</v>
      </c>
      <c r="F19" s="21"/>
      <c r="G19" s="21" t="n">
        <v>2</v>
      </c>
      <c r="H19" s="23"/>
      <c r="I19" s="24" t="n">
        <f aca="false">IF(OR(C19="",K19=""),"",MAX(IF(E19="",0,IFERROR(INDEX($J$8:$J$47,MATCH(E19,$A$8:$A$47,0))+1+G19,0)),IF(F19="",0,IFERROR(INDEX($J$8:$J$47,MATCH(F19,$A$8:$A$47,0))+1+G19,0)),IF(H19="",0,H19),IF(AND(E19="",F19="",H19=""),$H$2,0)))</f>
        <v>46369</v>
      </c>
      <c r="J19" s="24" t="n">
        <f aca="false">IF(I19="","",I19+MAX(K19,1)-1)</f>
        <v>46369</v>
      </c>
      <c r="K19" s="21" t="n">
        <v>1</v>
      </c>
      <c r="L19" s="25" t="n">
        <v>0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</row>
    <row r="20" customFormat="false" ht="18" hidden="false" customHeight="true" outlineLevel="0" collapsed="false">
      <c r="A20" s="21" t="n">
        <v>13</v>
      </c>
      <c r="B20" s="22" t="s">
        <v>55</v>
      </c>
      <c r="C20" s="22" t="s">
        <v>55</v>
      </c>
      <c r="D20" s="27"/>
      <c r="E20" s="21" t="n">
        <v>12</v>
      </c>
      <c r="F20" s="21"/>
      <c r="G20" s="21" t="n">
        <v>0</v>
      </c>
      <c r="H20" s="23"/>
      <c r="I20" s="24" t="n">
        <f aca="false">IF(OR(C20="",K20=""),"",MAX(IF(E20="",0,IFERROR(INDEX($J$8:$J$47,MATCH(E20,$A$8:$A$47,0))+1+G20,0)),IF(F20="",0,IFERROR(INDEX($J$8:$J$47,MATCH(F20,$A$8:$A$47,0))+1+G20,0)),IF(H20="",0,H20),IF(AND(E20="",F20="",H20=""),$H$2,0)))</f>
        <v>46370</v>
      </c>
      <c r="J20" s="24" t="n">
        <f aca="false">IF(I20="","",I20+MAX(K20,1)-1)</f>
        <v>46370</v>
      </c>
      <c r="K20" s="21" t="n">
        <v>0</v>
      </c>
      <c r="L20" s="25" t="n">
        <v>0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</row>
    <row r="21" customFormat="false" ht="18" hidden="false" customHeight="true" outlineLevel="0" collapsed="false">
      <c r="A21" s="21"/>
      <c r="B21" s="22"/>
      <c r="C21" s="27"/>
      <c r="D21" s="27"/>
      <c r="E21" s="21"/>
      <c r="F21" s="21"/>
      <c r="G21" s="21"/>
      <c r="H21" s="23"/>
      <c r="I21" s="24" t="str">
        <f aca="false">IF(OR(C21="",K21=""),"",MAX(IF(E21="",0,IFERROR(INDEX($J$8:$J$47,MATCH(E21,$A$8:$A$47,0))+1+G21,0)),IF(F21="",0,IFERROR(INDEX($J$8:$J$47,MATCH(F21,$A$8:$A$47,0))+1+G21,0)),IF(H21="",0,H21),IF(AND(E21="",F21="",H21=""),$H$2,0)))</f>
        <v/>
      </c>
      <c r="J21" s="24" t="str">
        <f aca="false">IF(I21="","",I21+MAX(K21,1)-1)</f>
        <v/>
      </c>
      <c r="K21" s="21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</row>
    <row r="22" customFormat="false" ht="18" hidden="false" customHeight="true" outlineLevel="0" collapsed="false">
      <c r="A22" s="21"/>
      <c r="B22" s="22"/>
      <c r="C22" s="27"/>
      <c r="D22" s="27"/>
      <c r="E22" s="21"/>
      <c r="F22" s="21"/>
      <c r="G22" s="21"/>
      <c r="H22" s="23"/>
      <c r="I22" s="24" t="str">
        <f aca="false">IF(OR(C22="",K22=""),"",MAX(IF(E22="",0,IFERROR(INDEX($J$8:$J$47,MATCH(E22,$A$8:$A$47,0))+1+G22,0)),IF(F22="",0,IFERROR(INDEX($J$8:$J$47,MATCH(F22,$A$8:$A$47,0))+1+G22,0)),IF(H22="",0,H22),IF(AND(E22="",F22="",H22=""),$H$2,0)))</f>
        <v/>
      </c>
      <c r="J22" s="24" t="str">
        <f aca="false">IF(I22="","",I22+MAX(K22,1)-1)</f>
        <v/>
      </c>
      <c r="K22" s="21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</row>
    <row r="23" customFormat="false" ht="18" hidden="false" customHeight="true" outlineLevel="0" collapsed="false">
      <c r="A23" s="21"/>
      <c r="B23" s="22"/>
      <c r="C23" s="27"/>
      <c r="D23" s="27"/>
      <c r="E23" s="21"/>
      <c r="F23" s="21"/>
      <c r="G23" s="21"/>
      <c r="H23" s="23"/>
      <c r="I23" s="24" t="str">
        <f aca="false">IF(OR(C23="",K23=""),"",MAX(IF(E23="",0,IFERROR(INDEX($J$8:$J$47,MATCH(E23,$A$8:$A$47,0))+1+G23,0)),IF(F23="",0,IFERROR(INDEX($J$8:$J$47,MATCH(F23,$A$8:$A$47,0))+1+G23,0)),IF(H23="",0,H23),IF(AND(E23="",F23="",H23=""),$H$2,0)))</f>
        <v/>
      </c>
      <c r="J23" s="24" t="str">
        <f aca="false">IF(I23="","",I23+MAX(K23,1)-1)</f>
        <v/>
      </c>
      <c r="K23" s="21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</row>
    <row r="24" customFormat="false" ht="18" hidden="false" customHeight="true" outlineLevel="0" collapsed="false">
      <c r="A24" s="21"/>
      <c r="B24" s="22"/>
      <c r="C24" s="27"/>
      <c r="D24" s="27"/>
      <c r="E24" s="21"/>
      <c r="F24" s="21"/>
      <c r="G24" s="21"/>
      <c r="H24" s="23"/>
      <c r="I24" s="24" t="str">
        <f aca="false">IF(OR(C24="",K24=""),"",MAX(IF(E24="",0,IFERROR(INDEX($J$8:$J$47,MATCH(E24,$A$8:$A$47,0))+1+G24,0)),IF(F24="",0,IFERROR(INDEX($J$8:$J$47,MATCH(F24,$A$8:$A$47,0))+1+G24,0)),IF(H24="",0,H24),IF(AND(E24="",F24="",H24=""),$H$2,0)))</f>
        <v/>
      </c>
      <c r="J24" s="24" t="str">
        <f aca="false">IF(I24="","",I24+MAX(K24,1)-1)</f>
        <v/>
      </c>
      <c r="K24" s="21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</row>
    <row r="25" customFormat="false" ht="18" hidden="false" customHeight="true" outlineLevel="0" collapsed="false">
      <c r="A25" s="21"/>
      <c r="B25" s="22"/>
      <c r="C25" s="27"/>
      <c r="D25" s="27"/>
      <c r="E25" s="21"/>
      <c r="F25" s="21"/>
      <c r="G25" s="21"/>
      <c r="H25" s="23"/>
      <c r="I25" s="24" t="str">
        <f aca="false">IF(OR(C25="",K25=""),"",MAX(IF(E25="",0,IFERROR(INDEX($J$8:$J$47,MATCH(E25,$A$8:$A$47,0))+1+G25,0)),IF(F25="",0,IFERROR(INDEX($J$8:$J$47,MATCH(F25,$A$8:$A$47,0))+1+G25,0)),IF(H25="",0,H25),IF(AND(E25="",F25="",H25=""),$H$2,0)))</f>
        <v/>
      </c>
      <c r="J25" s="24" t="str">
        <f aca="false">IF(I25="","",I25+MAX(K25,1)-1)</f>
        <v/>
      </c>
      <c r="K25" s="21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</row>
    <row r="26" customFormat="false" ht="18" hidden="false" customHeight="true" outlineLevel="0" collapsed="false">
      <c r="A26" s="21"/>
      <c r="B26" s="22"/>
      <c r="C26" s="27"/>
      <c r="D26" s="27"/>
      <c r="E26" s="21"/>
      <c r="F26" s="21"/>
      <c r="G26" s="21"/>
      <c r="H26" s="23"/>
      <c r="I26" s="24" t="str">
        <f aca="false">IF(OR(C26="",K26=""),"",MAX(IF(E26="",0,IFERROR(INDEX($J$8:$J$47,MATCH(E26,$A$8:$A$47,0))+1+G26,0)),IF(F26="",0,IFERROR(INDEX($J$8:$J$47,MATCH(F26,$A$8:$A$47,0))+1+G26,0)),IF(H26="",0,H26),IF(AND(E26="",F26="",H26=""),$H$2,0)))</f>
        <v/>
      </c>
      <c r="J26" s="24" t="str">
        <f aca="false">IF(I26="","",I26+MAX(K26,1)-1)</f>
        <v/>
      </c>
      <c r="K26" s="21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</row>
    <row r="27" customFormat="false" ht="18" hidden="false" customHeight="true" outlineLevel="0" collapsed="false">
      <c r="A27" s="21"/>
      <c r="B27" s="22"/>
      <c r="C27" s="27"/>
      <c r="D27" s="27"/>
      <c r="E27" s="21"/>
      <c r="F27" s="21"/>
      <c r="G27" s="21"/>
      <c r="H27" s="23"/>
      <c r="I27" s="24" t="str">
        <f aca="false">IF(OR(C27="",K27=""),"",MAX(IF(E27="",0,IFERROR(INDEX($J$8:$J$47,MATCH(E27,$A$8:$A$47,0))+1+G27,0)),IF(F27="",0,IFERROR(INDEX($J$8:$J$47,MATCH(F27,$A$8:$A$47,0))+1+G27,0)),IF(H27="",0,H27),IF(AND(E27="",F27="",H27=""),$H$2,0)))</f>
        <v/>
      </c>
      <c r="J27" s="24" t="str">
        <f aca="false">IF(I27="","",I27+MAX(K27,1)-1)</f>
        <v/>
      </c>
      <c r="K27" s="21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</row>
    <row r="28" customFormat="false" ht="18" hidden="false" customHeight="true" outlineLevel="0" collapsed="false">
      <c r="A28" s="21"/>
      <c r="B28" s="22"/>
      <c r="C28" s="27"/>
      <c r="D28" s="27"/>
      <c r="E28" s="21"/>
      <c r="F28" s="21"/>
      <c r="G28" s="21"/>
      <c r="H28" s="23"/>
      <c r="I28" s="24" t="str">
        <f aca="false">IF(OR(C28="",K28=""),"",MAX(IF(E28="",0,IFERROR(INDEX($J$8:$J$47,MATCH(E28,$A$8:$A$47,0))+1+G28,0)),IF(F28="",0,IFERROR(INDEX($J$8:$J$47,MATCH(F28,$A$8:$A$47,0))+1+G28,0)),IF(H28="",0,H28),IF(AND(E28="",F28="",H28=""),$H$2,0)))</f>
        <v/>
      </c>
      <c r="J28" s="24" t="str">
        <f aca="false">IF(I28="","",I28+MAX(K28,1)-1)</f>
        <v/>
      </c>
      <c r="K28" s="21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</row>
    <row r="29" customFormat="false" ht="18" hidden="false" customHeight="true" outlineLevel="0" collapsed="false">
      <c r="A29" s="21"/>
      <c r="B29" s="22"/>
      <c r="C29" s="27"/>
      <c r="D29" s="27"/>
      <c r="E29" s="21"/>
      <c r="F29" s="21"/>
      <c r="G29" s="21"/>
      <c r="H29" s="23"/>
      <c r="I29" s="24" t="str">
        <f aca="false">IF(OR(C29="",K29=""),"",MAX(IF(E29="",0,IFERROR(INDEX($J$8:$J$47,MATCH(E29,$A$8:$A$47,0))+1+G29,0)),IF(F29="",0,IFERROR(INDEX($J$8:$J$47,MATCH(F29,$A$8:$A$47,0))+1+G29,0)),IF(H29="",0,H29),IF(AND(E29="",F29="",H29=""),$H$2,0)))</f>
        <v/>
      </c>
      <c r="J29" s="24" t="str">
        <f aca="false">IF(I29="","",I29+MAX(K29,1)-1)</f>
        <v/>
      </c>
      <c r="K29" s="21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</row>
    <row r="30" customFormat="false" ht="18" hidden="false" customHeight="true" outlineLevel="0" collapsed="false">
      <c r="A30" s="21"/>
      <c r="B30" s="22"/>
      <c r="C30" s="27"/>
      <c r="D30" s="27"/>
      <c r="E30" s="21"/>
      <c r="F30" s="21"/>
      <c r="G30" s="21"/>
      <c r="H30" s="23"/>
      <c r="I30" s="24" t="str">
        <f aca="false">IF(OR(C30="",K30=""),"",MAX(IF(E30="",0,IFERROR(INDEX($J$8:$J$47,MATCH(E30,$A$8:$A$47,0))+1+G30,0)),IF(F30="",0,IFERROR(INDEX($J$8:$J$47,MATCH(F30,$A$8:$A$47,0))+1+G30,0)),IF(H30="",0,H30),IF(AND(E30="",F30="",H30=""),$H$2,0)))</f>
        <v/>
      </c>
      <c r="J30" s="24" t="str">
        <f aca="false">IF(I30="","",I30+MAX(K30,1)-1)</f>
        <v/>
      </c>
      <c r="K30" s="21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</row>
    <row r="31" customFormat="false" ht="18" hidden="false" customHeight="true" outlineLevel="0" collapsed="false">
      <c r="A31" s="21"/>
      <c r="B31" s="22"/>
      <c r="C31" s="27"/>
      <c r="D31" s="27"/>
      <c r="E31" s="21"/>
      <c r="F31" s="21"/>
      <c r="G31" s="21"/>
      <c r="H31" s="23"/>
      <c r="I31" s="24" t="str">
        <f aca="false">IF(OR(C31="",K31=""),"",MAX(IF(E31="",0,IFERROR(INDEX($J$8:$J$47,MATCH(E31,$A$8:$A$47,0))+1+G31,0)),IF(F31="",0,IFERROR(INDEX($J$8:$J$47,MATCH(F31,$A$8:$A$47,0))+1+G31,0)),IF(H31="",0,H31),IF(AND(E31="",F31="",H31=""),$H$2,0)))</f>
        <v/>
      </c>
      <c r="J31" s="24" t="str">
        <f aca="false">IF(I31="","",I31+MAX(K31,1)-1)</f>
        <v/>
      </c>
      <c r="K31" s="21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</row>
    <row r="32" customFormat="false" ht="18" hidden="false" customHeight="true" outlineLevel="0" collapsed="false">
      <c r="A32" s="21"/>
      <c r="B32" s="22"/>
      <c r="C32" s="27"/>
      <c r="D32" s="27"/>
      <c r="E32" s="21"/>
      <c r="F32" s="21"/>
      <c r="G32" s="21"/>
      <c r="H32" s="23"/>
      <c r="I32" s="24" t="str">
        <f aca="false">IF(OR(C32="",K32=""),"",MAX(IF(E32="",0,IFERROR(INDEX($J$8:$J$47,MATCH(E32,$A$8:$A$47,0))+1+G32,0)),IF(F32="",0,IFERROR(INDEX($J$8:$J$47,MATCH(F32,$A$8:$A$47,0))+1+G32,0)),IF(H32="",0,H32),IF(AND(E32="",F32="",H32=""),$H$2,0)))</f>
        <v/>
      </c>
      <c r="J32" s="24" t="str">
        <f aca="false">IF(I32="","",I32+MAX(K32,1)-1)</f>
        <v/>
      </c>
      <c r="K32" s="21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</row>
    <row r="33" customFormat="false" ht="18" hidden="false" customHeight="true" outlineLevel="0" collapsed="false">
      <c r="A33" s="21"/>
      <c r="B33" s="22"/>
      <c r="C33" s="27"/>
      <c r="D33" s="27"/>
      <c r="E33" s="21"/>
      <c r="F33" s="21"/>
      <c r="G33" s="21"/>
      <c r="H33" s="23"/>
      <c r="I33" s="24" t="str">
        <f aca="false">IF(OR(C33="",K33=""),"",MAX(IF(E33="",0,IFERROR(INDEX($J$8:$J$47,MATCH(E33,$A$8:$A$47,0))+1+G33,0)),IF(F33="",0,IFERROR(INDEX($J$8:$J$47,MATCH(F33,$A$8:$A$47,0))+1+G33,0)),IF(H33="",0,H33),IF(AND(E33="",F33="",H33=""),$H$2,0)))</f>
        <v/>
      </c>
      <c r="J33" s="24" t="str">
        <f aca="false">IF(I33="","",I33+MAX(K33,1)-1)</f>
        <v/>
      </c>
      <c r="K33" s="21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</row>
    <row r="34" customFormat="false" ht="18" hidden="false" customHeight="true" outlineLevel="0" collapsed="false">
      <c r="A34" s="21"/>
      <c r="B34" s="22"/>
      <c r="C34" s="27"/>
      <c r="D34" s="27"/>
      <c r="E34" s="21"/>
      <c r="F34" s="21"/>
      <c r="G34" s="21"/>
      <c r="H34" s="23"/>
      <c r="I34" s="24" t="str">
        <f aca="false">IF(OR(C34="",K34=""),"",MAX(IF(E34="",0,IFERROR(INDEX($J$8:$J$47,MATCH(E34,$A$8:$A$47,0))+1+G34,0)),IF(F34="",0,IFERROR(INDEX($J$8:$J$47,MATCH(F34,$A$8:$A$47,0))+1+G34,0)),IF(H34="",0,H34),IF(AND(E34="",F34="",H34=""),$H$2,0)))</f>
        <v/>
      </c>
      <c r="J34" s="24" t="str">
        <f aca="false">IF(I34="","",I34+MAX(K34,1)-1)</f>
        <v/>
      </c>
      <c r="K34" s="21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</row>
    <row r="35" customFormat="false" ht="18" hidden="false" customHeight="true" outlineLevel="0" collapsed="false">
      <c r="A35" s="21"/>
      <c r="B35" s="22"/>
      <c r="C35" s="27"/>
      <c r="D35" s="27"/>
      <c r="E35" s="21"/>
      <c r="F35" s="21"/>
      <c r="G35" s="21"/>
      <c r="H35" s="23"/>
      <c r="I35" s="24" t="str">
        <f aca="false">IF(OR(C35="",K35=""),"",MAX(IF(E35="",0,IFERROR(INDEX($J$8:$J$47,MATCH(E35,$A$8:$A$47,0))+1+G35,0)),IF(F35="",0,IFERROR(INDEX($J$8:$J$47,MATCH(F35,$A$8:$A$47,0))+1+G35,0)),IF(H35="",0,H35),IF(AND(E35="",F35="",H35=""),$H$2,0)))</f>
        <v/>
      </c>
      <c r="J35" s="24" t="str">
        <f aca="false">IF(I35="","",I35+MAX(K35,1)-1)</f>
        <v/>
      </c>
      <c r="K35" s="21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</row>
    <row r="36" customFormat="false" ht="18" hidden="false" customHeight="true" outlineLevel="0" collapsed="false">
      <c r="A36" s="21"/>
      <c r="B36" s="22"/>
      <c r="C36" s="27"/>
      <c r="D36" s="27"/>
      <c r="E36" s="21"/>
      <c r="F36" s="21"/>
      <c r="G36" s="21"/>
      <c r="H36" s="23"/>
      <c r="I36" s="24" t="str">
        <f aca="false">IF(OR(C36="",K36=""),"",MAX(IF(E36="",0,IFERROR(INDEX($J$8:$J$47,MATCH(E36,$A$8:$A$47,0))+1+G36,0)),IF(F36="",0,IFERROR(INDEX($J$8:$J$47,MATCH(F36,$A$8:$A$47,0))+1+G36,0)),IF(H36="",0,H36),IF(AND(E36="",F36="",H36=""),$H$2,0)))</f>
        <v/>
      </c>
      <c r="J36" s="24" t="str">
        <f aca="false">IF(I36="","",I36+MAX(K36,1)-1)</f>
        <v/>
      </c>
      <c r="K36" s="21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</row>
    <row r="37" customFormat="false" ht="18" hidden="false" customHeight="true" outlineLevel="0" collapsed="false">
      <c r="A37" s="21"/>
      <c r="B37" s="22"/>
      <c r="C37" s="27"/>
      <c r="D37" s="27"/>
      <c r="E37" s="21"/>
      <c r="F37" s="21"/>
      <c r="G37" s="21"/>
      <c r="H37" s="23"/>
      <c r="I37" s="24" t="str">
        <f aca="false">IF(OR(C37="",K37=""),"",MAX(IF(E37="",0,IFERROR(INDEX($J$8:$J$47,MATCH(E37,$A$8:$A$47,0))+1+G37,0)),IF(F37="",0,IFERROR(INDEX($J$8:$J$47,MATCH(F37,$A$8:$A$47,0))+1+G37,0)),IF(H37="",0,H37),IF(AND(E37="",F37="",H37=""),$H$2,0)))</f>
        <v/>
      </c>
      <c r="J37" s="24" t="str">
        <f aca="false">IF(I37="","",I37+MAX(K37,1)-1)</f>
        <v/>
      </c>
      <c r="K37" s="21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</row>
    <row r="38" customFormat="false" ht="18" hidden="false" customHeight="true" outlineLevel="0" collapsed="false">
      <c r="A38" s="21"/>
      <c r="B38" s="22"/>
      <c r="C38" s="27"/>
      <c r="D38" s="27"/>
      <c r="E38" s="21"/>
      <c r="F38" s="21"/>
      <c r="G38" s="21"/>
      <c r="H38" s="23"/>
      <c r="I38" s="24" t="str">
        <f aca="false">IF(OR(C38="",K38=""),"",MAX(IF(E38="",0,IFERROR(INDEX($J$8:$J$47,MATCH(E38,$A$8:$A$47,0))+1+G38,0)),IF(F38="",0,IFERROR(INDEX($J$8:$J$47,MATCH(F38,$A$8:$A$47,0))+1+G38,0)),IF(H38="",0,H38),IF(AND(E38="",F38="",H38=""),$H$2,0)))</f>
        <v/>
      </c>
      <c r="J38" s="24" t="str">
        <f aca="false">IF(I38="","",I38+MAX(K38,1)-1)</f>
        <v/>
      </c>
      <c r="K38" s="21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</row>
    <row r="39" customFormat="false" ht="18" hidden="false" customHeight="true" outlineLevel="0" collapsed="false">
      <c r="A39" s="21"/>
      <c r="B39" s="22"/>
      <c r="C39" s="27"/>
      <c r="D39" s="27"/>
      <c r="E39" s="21"/>
      <c r="F39" s="21"/>
      <c r="G39" s="21"/>
      <c r="H39" s="23"/>
      <c r="I39" s="24" t="str">
        <f aca="false">IF(OR(C39="",K39=""),"",MAX(IF(E39="",0,IFERROR(INDEX($J$8:$J$47,MATCH(E39,$A$8:$A$47,0))+1+G39,0)),IF(F39="",0,IFERROR(INDEX($J$8:$J$47,MATCH(F39,$A$8:$A$47,0))+1+G39,0)),IF(H39="",0,H39),IF(AND(E39="",F39="",H39=""),$H$2,0)))</f>
        <v/>
      </c>
      <c r="J39" s="24" t="str">
        <f aca="false">IF(I39="","",I39+MAX(K39,1)-1)</f>
        <v/>
      </c>
      <c r="K39" s="21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</row>
    <row r="40" customFormat="false" ht="18" hidden="false" customHeight="true" outlineLevel="0" collapsed="false">
      <c r="A40" s="21"/>
      <c r="B40" s="22"/>
      <c r="C40" s="27"/>
      <c r="D40" s="27"/>
      <c r="E40" s="21"/>
      <c r="F40" s="21"/>
      <c r="G40" s="21"/>
      <c r="H40" s="23"/>
      <c r="I40" s="24" t="str">
        <f aca="false">IF(OR(C40="",K40=""),"",MAX(IF(E40="",0,IFERROR(INDEX($J$8:$J$47,MATCH(E40,$A$8:$A$47,0))+1+G40,0)),IF(F40="",0,IFERROR(INDEX($J$8:$J$47,MATCH(F40,$A$8:$A$47,0))+1+G40,0)),IF(H40="",0,H40),IF(AND(E40="",F40="",H40=""),$H$2,0)))</f>
        <v/>
      </c>
      <c r="J40" s="24" t="str">
        <f aca="false">IF(I40="","",I40+MAX(K40,1)-1)</f>
        <v/>
      </c>
      <c r="K40" s="21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</row>
    <row r="41" customFormat="false" ht="18" hidden="false" customHeight="true" outlineLevel="0" collapsed="false">
      <c r="A41" s="21"/>
      <c r="B41" s="22"/>
      <c r="C41" s="27"/>
      <c r="D41" s="27"/>
      <c r="E41" s="21"/>
      <c r="F41" s="21"/>
      <c r="G41" s="21"/>
      <c r="H41" s="23"/>
      <c r="I41" s="24" t="str">
        <f aca="false">IF(OR(C41="",K41=""),"",MAX(IF(E41="",0,IFERROR(INDEX($J$8:$J$47,MATCH(E41,$A$8:$A$47,0))+1+G41,0)),IF(F41="",0,IFERROR(INDEX($J$8:$J$47,MATCH(F41,$A$8:$A$47,0))+1+G41,0)),IF(H41="",0,H41),IF(AND(E41="",F41="",H41=""),$H$2,0)))</f>
        <v/>
      </c>
      <c r="J41" s="24" t="str">
        <f aca="false">IF(I41="","",I41+MAX(K41,1)-1)</f>
        <v/>
      </c>
      <c r="K41" s="21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</row>
    <row r="42" customFormat="false" ht="18" hidden="false" customHeight="true" outlineLevel="0" collapsed="false">
      <c r="A42" s="21"/>
      <c r="B42" s="22"/>
      <c r="C42" s="27"/>
      <c r="D42" s="27"/>
      <c r="E42" s="21"/>
      <c r="F42" s="21"/>
      <c r="G42" s="21"/>
      <c r="H42" s="23"/>
      <c r="I42" s="24" t="str">
        <f aca="false">IF(OR(C42="",K42=""),"",MAX(IF(E42="",0,IFERROR(INDEX($J$8:$J$47,MATCH(E42,$A$8:$A$47,0))+1+G42,0)),IF(F42="",0,IFERROR(INDEX($J$8:$J$47,MATCH(F42,$A$8:$A$47,0))+1+G42,0)),IF(H42="",0,H42),IF(AND(E42="",F42="",H42=""),$H$2,0)))</f>
        <v/>
      </c>
      <c r="J42" s="24" t="str">
        <f aca="false">IF(I42="","",I42+MAX(K42,1)-1)</f>
        <v/>
      </c>
      <c r="K42" s="21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</row>
    <row r="43" customFormat="false" ht="18" hidden="false" customHeight="true" outlineLevel="0" collapsed="false">
      <c r="A43" s="21"/>
      <c r="B43" s="22"/>
      <c r="C43" s="27"/>
      <c r="D43" s="27"/>
      <c r="E43" s="21"/>
      <c r="F43" s="21"/>
      <c r="G43" s="21"/>
      <c r="H43" s="23"/>
      <c r="I43" s="24" t="str">
        <f aca="false">IF(OR(C43="",K43=""),"",MAX(IF(E43="",0,IFERROR(INDEX($J$8:$J$47,MATCH(E43,$A$8:$A$47,0))+1+G43,0)),IF(F43="",0,IFERROR(INDEX($J$8:$J$47,MATCH(F43,$A$8:$A$47,0))+1+G43,0)),IF(H43="",0,H43),IF(AND(E43="",F43="",H43=""),$H$2,0)))</f>
        <v/>
      </c>
      <c r="J43" s="24" t="str">
        <f aca="false">IF(I43="","",I43+MAX(K43,1)-1)</f>
        <v/>
      </c>
      <c r="K43" s="21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</row>
    <row r="44" customFormat="false" ht="18" hidden="false" customHeight="true" outlineLevel="0" collapsed="false">
      <c r="A44" s="21"/>
      <c r="B44" s="22"/>
      <c r="C44" s="27"/>
      <c r="D44" s="27"/>
      <c r="E44" s="21"/>
      <c r="F44" s="21"/>
      <c r="G44" s="21"/>
      <c r="H44" s="23"/>
      <c r="I44" s="24" t="str">
        <f aca="false">IF(OR(C44="",K44=""),"",MAX(IF(E44="",0,IFERROR(INDEX($J$8:$J$47,MATCH(E44,$A$8:$A$47,0))+1+G44,0)),IF(F44="",0,IFERROR(INDEX($J$8:$J$47,MATCH(F44,$A$8:$A$47,0))+1+G44,0)),IF(H44="",0,H44),IF(AND(E44="",F44="",H44=""),$H$2,0)))</f>
        <v/>
      </c>
      <c r="J44" s="24" t="str">
        <f aca="false">IF(I44="","",I44+MAX(K44,1)-1)</f>
        <v/>
      </c>
      <c r="K44" s="21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</row>
    <row r="45" customFormat="false" ht="18" hidden="false" customHeight="true" outlineLevel="0" collapsed="false">
      <c r="A45" s="21"/>
      <c r="B45" s="22"/>
      <c r="C45" s="27"/>
      <c r="D45" s="27"/>
      <c r="E45" s="21"/>
      <c r="F45" s="21"/>
      <c r="G45" s="21"/>
      <c r="H45" s="23"/>
      <c r="I45" s="24" t="str">
        <f aca="false">IF(OR(C45="",K45=""),"",MAX(IF(E45="",0,IFERROR(INDEX($J$8:$J$47,MATCH(E45,$A$8:$A$47,0))+1+G45,0)),IF(F45="",0,IFERROR(INDEX($J$8:$J$47,MATCH(F45,$A$8:$A$47,0))+1+G45,0)),IF(H45="",0,H45),IF(AND(E45="",F45="",H45=""),$H$2,0)))</f>
        <v/>
      </c>
      <c r="J45" s="24" t="str">
        <f aca="false">IF(I45="","",I45+MAX(K45,1)-1)</f>
        <v/>
      </c>
      <c r="K45" s="21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</row>
    <row r="46" customFormat="false" ht="18" hidden="false" customHeight="true" outlineLevel="0" collapsed="false">
      <c r="A46" s="21"/>
      <c r="B46" s="22"/>
      <c r="C46" s="27"/>
      <c r="D46" s="27"/>
      <c r="E46" s="21"/>
      <c r="F46" s="21"/>
      <c r="G46" s="21"/>
      <c r="H46" s="23"/>
      <c r="I46" s="24" t="str">
        <f aca="false">IF(OR(C46="",K46=""),"",MAX(IF(E46="",0,IFERROR(INDEX($J$8:$J$47,MATCH(E46,$A$8:$A$47,0))+1+G46,0)),IF(F46="",0,IFERROR(INDEX($J$8:$J$47,MATCH(F46,$A$8:$A$47,0))+1+G46,0)),IF(H46="",0,H46),IF(AND(E46="",F46="",H46=""),$H$2,0)))</f>
        <v/>
      </c>
      <c r="J46" s="24" t="str">
        <f aca="false">IF(I46="","",I46+MAX(K46,1)-1)</f>
        <v/>
      </c>
      <c r="K46" s="21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</row>
    <row r="47" customFormat="false" ht="18" hidden="false" customHeight="true" outlineLevel="0" collapsed="false">
      <c r="A47" s="21"/>
      <c r="B47" s="22"/>
      <c r="C47" s="27"/>
      <c r="D47" s="27"/>
      <c r="E47" s="21"/>
      <c r="F47" s="21"/>
      <c r="G47" s="21"/>
      <c r="H47" s="23"/>
      <c r="I47" s="24" t="str">
        <f aca="false">IF(OR(C47="",K47=""),"",MAX(IF(E47="",0,IFERROR(INDEX($J$8:$J$47,MATCH(E47,$A$8:$A$47,0))+1+G47,0)),IF(F47="",0,IFERROR(INDEX($J$8:$J$47,MATCH(F47,$A$8:$A$47,0))+1+G47,0)),IF(H47="",0,H47),IF(AND(E47="",F47="",H47=""),$H$2,0)))</f>
        <v/>
      </c>
      <c r="J47" s="24" t="str">
        <f aca="false">IF(I47="","",I47+MAX(K47,1)-1)</f>
        <v/>
      </c>
      <c r="K47" s="21"/>
      <c r="L47" s="25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</row>
  </sheetData>
  <mergeCells count="24">
    <mergeCell ref="A2:B2"/>
    <mergeCell ref="C2:E2"/>
    <mergeCell ref="F2:G2"/>
    <mergeCell ref="H2:I2"/>
    <mergeCell ref="A3:B3"/>
    <mergeCell ref="C3:E3"/>
    <mergeCell ref="F3:G3"/>
    <mergeCell ref="H3:I3"/>
    <mergeCell ref="A4:B4"/>
    <mergeCell ref="C4:E4"/>
    <mergeCell ref="F4:G4"/>
    <mergeCell ref="H4:I4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</mergeCells>
  <conditionalFormatting sqref="M8:EB47">
    <cfRule type="expression" priority="2" aboveAverage="0" equalAverage="0" bottom="0" percent="0" rank="0" text="" dxfId="0">
      <formula>AND($I8&lt;&gt;"",$K8=0,M$6=$I8)</formula>
    </cfRule>
    <cfRule type="expression" priority="3" aboveAverage="0" equalAverage="0" bottom="0" percent="0" rank="0" text="" dxfId="1">
      <formula>AND($I8&lt;&gt;"",M$6&gt;=$I8,M$6&lt;$I8+($J8-$I8+1)*N($L8))</formula>
    </cfRule>
    <cfRule type="expression" priority="4" aboveAverage="0" equalAverage="0" bottom="0" percent="0" rank="0" text="" dxfId="2">
      <formula>AND($I8&lt;&gt;"",M$6&gt;=$I8,M$6&lt;=$J8)</formula>
    </cfRule>
    <cfRule type="expression" priority="5" aboveAverage="0" equalAverage="0" bottom="0" percent="0" rank="0" text="" dxfId="3">
      <formula>WEEKDAY(M$6)=1</formula>
    </cfRule>
  </conditionalFormatting>
  <conditionalFormatting sqref="M5:EB47">
    <cfRule type="expression" priority="6" aboveAverage="0" equalAverage="0" bottom="0" percent="0" rank="0" text="" dxfId="4">
      <formula>M$6=TODAY()</formula>
    </cfRule>
  </conditionalFormatting>
  <conditionalFormatting sqref="M5:EB7">
    <cfRule type="expression" priority="7" aboveAverage="0" equalAverage="0" bottom="0" percent="0" rank="0" text="" dxfId="5">
      <formula>WEEKDAY(M$6)=1</formula>
    </cfRule>
    <cfRule type="expression" priority="8" aboveAverage="0" equalAverage="0" bottom="0" percent="0" rank="0" text="" dxfId="6">
      <formula>WEEKDAY(M$6)=7</formula>
    </cfRule>
  </conditionalFormatting>
  <conditionalFormatting sqref="A8:L47">
    <cfRule type="expression" priority="9" aboveAverage="0" equalAverage="0" bottom="0" percent="0" rank="0" text="" dxfId="5">
      <formula>AND($J8&lt;&gt;"",$J8&lt;TODAY(),N($L8)&lt;1)</formula>
    </cfRule>
  </conditionalFormatting>
  <dataValidations count="2">
    <dataValidation allowBlank="false" error="0〜100%で入力してください" errorStyle="stop" operator="between" showDropDown="false" showErrorMessage="true" showInputMessage="false" sqref="L8:L47" type="decimal">
      <formula1>0</formula1>
      <formula2>1</formula2>
    </dataValidation>
    <dataValidation allowBlank="true" errorStyle="stop" operator="between" showDropDown="false" showErrorMessage="false" showInputMessage="false" sqref="B8:B47" type="list">
      <formula1>"仮設,解体,躯体,外装,内装,設備,外構,検査,引渡し,その他"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7.35" hidden="false" customHeight="false" outlineLevel="0" collapsed="false">
      <c r="B1" s="28" t="s">
        <v>56</v>
      </c>
    </row>
    <row r="3" customFormat="false" ht="30" hidden="false" customHeight="true" outlineLevel="0" collapsed="false">
      <c r="B3" s="29" t="s">
        <v>57</v>
      </c>
      <c r="C3" s="30" t="s">
        <v>58</v>
      </c>
    </row>
    <row r="4" customFormat="false" ht="30" hidden="false" customHeight="true" outlineLevel="0" collapsed="false">
      <c r="B4" s="31" t="s">
        <v>59</v>
      </c>
      <c r="C4" s="30" t="s">
        <v>60</v>
      </c>
    </row>
    <row r="5" customFormat="false" ht="30" hidden="false" customHeight="true" outlineLevel="0" collapsed="false">
      <c r="B5" s="32" t="s">
        <v>61</v>
      </c>
      <c r="C5" s="30" t="s">
        <v>62</v>
      </c>
    </row>
    <row r="6" customFormat="false" ht="30" hidden="false" customHeight="true" outlineLevel="0" collapsed="false">
      <c r="B6" s="33" t="s">
        <v>16</v>
      </c>
      <c r="C6" s="30" t="s">
        <v>63</v>
      </c>
    </row>
    <row r="7" customFormat="false" ht="30" hidden="false" customHeight="true" outlineLevel="0" collapsed="false">
      <c r="B7" s="32" t="s">
        <v>64</v>
      </c>
      <c r="C7" s="30" t="s">
        <v>65</v>
      </c>
    </row>
    <row r="8" customFormat="false" ht="30" hidden="false" customHeight="true" outlineLevel="0" collapsed="false">
      <c r="B8" s="32" t="s">
        <v>66</v>
      </c>
      <c r="C8" s="30" t="s">
        <v>67</v>
      </c>
    </row>
    <row r="9" customFormat="false" ht="30" hidden="false" customHeight="true" outlineLevel="0" collapsed="false">
      <c r="B9" s="32" t="s">
        <v>68</v>
      </c>
      <c r="C9" s="30" t="s">
        <v>69</v>
      </c>
    </row>
    <row r="10" customFormat="false" ht="30" hidden="false" customHeight="true" outlineLevel="0" collapsed="false">
      <c r="B10" s="32" t="s">
        <v>26</v>
      </c>
      <c r="C10" s="30" t="s">
        <v>70</v>
      </c>
    </row>
    <row r="11" customFormat="false" ht="30" hidden="false" customHeight="true" outlineLevel="0" collapsed="false">
      <c r="B11" s="32" t="s">
        <v>71</v>
      </c>
      <c r="C11" s="34" t="s">
        <v>72</v>
      </c>
    </row>
    <row r="12" customFormat="false" ht="30" hidden="false" customHeight="true" outlineLevel="0" collapsed="false">
      <c r="B12" s="32" t="s">
        <v>73</v>
      </c>
      <c r="C12" s="30" t="s">
        <v>74</v>
      </c>
    </row>
    <row r="13" customFormat="false" ht="30" hidden="false" customHeight="true" outlineLevel="0" collapsed="false">
      <c r="B13" s="32" t="s">
        <v>75</v>
      </c>
      <c r="C13" s="34" t="s">
        <v>76</v>
      </c>
    </row>
    <row r="14" customFormat="false" ht="30" hidden="false" customHeight="true" outlineLevel="0" collapsed="false">
      <c r="B14" s="32" t="s">
        <v>77</v>
      </c>
      <c r="C14" s="34" t="s">
        <v>78</v>
      </c>
    </row>
    <row r="15" customFormat="false" ht="30" hidden="false" customHeight="true" outlineLevel="0" collapsed="false">
      <c r="B15" s="32" t="s">
        <v>79</v>
      </c>
      <c r="C15" s="3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2026-10-22T01:57:55Z</dcterms:created>
  <dc:creator>openpyxl</dc:creator>
  <dc:description/>
  <dc:language>en-US</dc:language>
  <cp:lastModifiedBy/>
  <dcterms:modified xsi:type="dcterms:W3CDTF">2026-10-22T01:57:55Z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